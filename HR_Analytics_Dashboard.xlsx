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hidePivotFieldList="1"/>
  <mc:AlternateContent xmlns:mc="http://schemas.openxmlformats.org/markup-compatibility/2006">
    <mc:Choice Requires="x15">
      <x15ac:absPath xmlns:x15ac="http://schemas.microsoft.com/office/spreadsheetml/2010/11/ac" url="https://d.docs.live.net/254df43b4c7728f5/Desktop/"/>
    </mc:Choice>
  </mc:AlternateContent>
  <xr:revisionPtr revIDLastSave="0" documentId="8_{E7DED3B6-2DAA-4861-A31B-2CA36549EDDC}" xr6:coauthVersionLast="47" xr6:coauthVersionMax="47" xr10:uidLastSave="{00000000-0000-0000-0000-000000000000}"/>
  <bookViews>
    <workbookView xWindow="-108" yWindow="-108" windowWidth="23256" windowHeight="12456" activeTab="6" xr2:uid="{00000000-000D-0000-FFFF-FFFF00000000}"/>
  </bookViews>
  <sheets>
    <sheet name="Employees" sheetId="2" r:id="rId1"/>
    <sheet name="Attendance" sheetId="3" r:id="rId2"/>
    <sheet name="Performance" sheetId="4" r:id="rId3"/>
    <sheet name="Holidays" sheetId="5" r:id="rId4"/>
    <sheet name="Shifts" sheetId="6" r:id="rId5"/>
    <sheet name="Cleaned_Data" sheetId="12" r:id="rId6"/>
    <sheet name="EmployeeMetrics" sheetId="15" r:id="rId7"/>
    <sheet name="Pivot table" sheetId="14" r:id="rId8"/>
    <sheet name="Dashboard" sheetId="7" r:id="rId9"/>
    <sheet name="Lists" sheetId="8" state="hidden" r:id="rId10"/>
  </sheets>
  <definedNames>
    <definedName name="_xlnm._FilterDatabase" localSheetId="6" hidden="1">EmployeeMetrics!$B$4:$O$104</definedName>
    <definedName name="ExternalData_1" localSheetId="5" hidden="1">'Cleaned_Data'!$A$1:$R$101</definedName>
    <definedName name="Slicer_Department">#N/A</definedName>
    <definedName name="Slicer_Month">#N/A</definedName>
    <definedName name="tblRawData">#REF!</definedName>
  </definedNames>
  <calcPr calcId="191029" iterateDelta="1E-4"/>
  <pivotCaches>
    <pivotCache cacheId="0" r:id="rId11"/>
    <pivotCache cacheId="1"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38" i="15" l="1"/>
  <c r="O86" i="15"/>
  <c r="O94" i="15"/>
  <c r="O95" i="15"/>
  <c r="N8" i="15"/>
  <c r="N9" i="15"/>
  <c r="N10" i="15"/>
  <c r="N19" i="15"/>
  <c r="N31" i="15"/>
  <c r="N34" i="15"/>
  <c r="N43" i="15"/>
  <c r="N44" i="15"/>
  <c r="N55" i="15"/>
  <c r="N58" i="15"/>
  <c r="N65" i="15"/>
  <c r="N67" i="15"/>
  <c r="N68" i="15"/>
  <c r="N79" i="15"/>
  <c r="N82" i="15"/>
  <c r="N91" i="15"/>
  <c r="N92" i="15"/>
  <c r="N93" i="15"/>
  <c r="M6" i="15"/>
  <c r="M7" i="15"/>
  <c r="M8" i="15"/>
  <c r="M9" i="15"/>
  <c r="M10" i="15"/>
  <c r="M11" i="15"/>
  <c r="M12" i="15"/>
  <c r="M13" i="15"/>
  <c r="M14" i="15"/>
  <c r="M15" i="15"/>
  <c r="M16" i="15"/>
  <c r="M17" i="15"/>
  <c r="M18" i="15"/>
  <c r="M19" i="15"/>
  <c r="M20" i="15"/>
  <c r="M21" i="15"/>
  <c r="M22" i="15"/>
  <c r="M23" i="15"/>
  <c r="M24" i="15"/>
  <c r="M25" i="15"/>
  <c r="M26" i="15"/>
  <c r="M27" i="15"/>
  <c r="M28" i="15"/>
  <c r="M29" i="15"/>
  <c r="M30" i="15"/>
  <c r="M31" i="15"/>
  <c r="M32" i="15"/>
  <c r="M33" i="15"/>
  <c r="M34" i="15"/>
  <c r="M35" i="15"/>
  <c r="M36" i="15"/>
  <c r="M37" i="15"/>
  <c r="M38" i="15"/>
  <c r="M39" i="15"/>
  <c r="M40" i="15"/>
  <c r="M41" i="15"/>
  <c r="M42" i="15"/>
  <c r="M43" i="15"/>
  <c r="M44" i="15"/>
  <c r="M45" i="15"/>
  <c r="M46" i="15"/>
  <c r="M47" i="15"/>
  <c r="M48" i="15"/>
  <c r="M49" i="15"/>
  <c r="M50" i="15"/>
  <c r="M51" i="15"/>
  <c r="M52" i="15"/>
  <c r="M53" i="15"/>
  <c r="M54" i="15"/>
  <c r="M55" i="15"/>
  <c r="M56" i="15"/>
  <c r="M57" i="15"/>
  <c r="M58" i="15"/>
  <c r="M59" i="15"/>
  <c r="M60" i="15"/>
  <c r="M61" i="15"/>
  <c r="M62" i="15"/>
  <c r="M63" i="15"/>
  <c r="M64" i="15"/>
  <c r="M65" i="15"/>
  <c r="M66" i="15"/>
  <c r="M67" i="15"/>
  <c r="M68" i="15"/>
  <c r="M69" i="15"/>
  <c r="M70" i="15"/>
  <c r="M71" i="15"/>
  <c r="M72" i="15"/>
  <c r="M73" i="15"/>
  <c r="M74" i="15"/>
  <c r="M75" i="15"/>
  <c r="M76" i="15"/>
  <c r="M77" i="15"/>
  <c r="M78" i="15"/>
  <c r="M79" i="15"/>
  <c r="M80" i="15"/>
  <c r="M81" i="15"/>
  <c r="M82" i="15"/>
  <c r="M83" i="15"/>
  <c r="M84" i="15"/>
  <c r="M85" i="15"/>
  <c r="M86" i="15"/>
  <c r="M87" i="15"/>
  <c r="M88" i="15"/>
  <c r="M89" i="15"/>
  <c r="M90" i="15"/>
  <c r="M91" i="15"/>
  <c r="M92" i="15"/>
  <c r="M93" i="15"/>
  <c r="M94" i="15"/>
  <c r="M95" i="15"/>
  <c r="M96" i="15"/>
  <c r="M97" i="15"/>
  <c r="M98" i="15"/>
  <c r="M99" i="15"/>
  <c r="M100" i="15"/>
  <c r="M101" i="15"/>
  <c r="M102" i="15"/>
  <c r="M103" i="15"/>
  <c r="M104" i="15"/>
  <c r="M5" i="15"/>
  <c r="L26" i="15"/>
  <c r="N26" i="15" s="1"/>
  <c r="L27" i="15"/>
  <c r="N27" i="15" s="1"/>
  <c r="L28" i="15"/>
  <c r="N28" i="15" s="1"/>
  <c r="L29" i="15"/>
  <c r="N29" i="15" s="1"/>
  <c r="L38" i="15"/>
  <c r="N38" i="15" s="1"/>
  <c r="L39" i="15"/>
  <c r="N39" i="15" s="1"/>
  <c r="L62" i="15"/>
  <c r="N62" i="15" s="1"/>
  <c r="L63" i="15"/>
  <c r="N63" i="15" s="1"/>
  <c r="L64" i="15"/>
  <c r="N64" i="15" s="1"/>
  <c r="L65" i="15"/>
  <c r="O65" i="15" s="1"/>
  <c r="L74" i="15"/>
  <c r="N74" i="15" s="1"/>
  <c r="L75" i="15"/>
  <c r="N75" i="15" s="1"/>
  <c r="L101" i="15"/>
  <c r="N101" i="15" s="1"/>
  <c r="L22" i="4"/>
  <c r="L23" i="4"/>
  <c r="K2" i="4"/>
  <c r="L2" i="4" s="1"/>
  <c r="K3" i="4"/>
  <c r="L3" i="4" s="1"/>
  <c r="K4" i="4"/>
  <c r="L4" i="4" s="1"/>
  <c r="K5" i="4"/>
  <c r="L5" i="4" s="1"/>
  <c r="K6" i="4"/>
  <c r="L6" i="4" s="1"/>
  <c r="K7" i="4"/>
  <c r="L7" i="4" s="1"/>
  <c r="K8" i="4"/>
  <c r="L8" i="4" s="1"/>
  <c r="K9" i="4"/>
  <c r="L9" i="4" s="1"/>
  <c r="K10" i="4"/>
  <c r="L10" i="4" s="1"/>
  <c r="K11" i="4"/>
  <c r="L11" i="4" s="1"/>
  <c r="K12" i="4"/>
  <c r="L12" i="4" s="1"/>
  <c r="K13" i="4"/>
  <c r="L13" i="4" s="1"/>
  <c r="K14" i="4"/>
  <c r="L14" i="4" s="1"/>
  <c r="K15" i="4"/>
  <c r="L15" i="4" s="1"/>
  <c r="K16" i="4"/>
  <c r="L16" i="4" s="1"/>
  <c r="K17" i="4"/>
  <c r="L17" i="4" s="1"/>
  <c r="K18" i="4"/>
  <c r="L18" i="4" s="1"/>
  <c r="K19" i="4"/>
  <c r="L19" i="4" s="1"/>
  <c r="K20" i="4"/>
  <c r="L20" i="4" s="1"/>
  <c r="K21" i="4"/>
  <c r="L21" i="4" s="1"/>
  <c r="K22" i="4"/>
  <c r="K23" i="4"/>
  <c r="K24" i="4"/>
  <c r="L24" i="4" s="1"/>
  <c r="K25" i="4"/>
  <c r="L25" i="4" s="1"/>
  <c r="K26" i="4"/>
  <c r="L26" i="4" s="1"/>
  <c r="K27" i="4"/>
  <c r="L27" i="4" s="1"/>
  <c r="K28" i="4"/>
  <c r="L28" i="4" s="1"/>
  <c r="K29" i="4"/>
  <c r="L29" i="4" s="1"/>
  <c r="K30" i="4"/>
  <c r="L30" i="4" s="1"/>
  <c r="K31" i="4"/>
  <c r="L31" i="4" s="1"/>
  <c r="K32" i="4"/>
  <c r="L32" i="4" s="1"/>
  <c r="K33" i="4"/>
  <c r="L33" i="4" s="1"/>
  <c r="K34" i="4"/>
  <c r="L34" i="4" s="1"/>
  <c r="K35" i="4"/>
  <c r="L35" i="4" s="1"/>
  <c r="K36" i="4"/>
  <c r="L36" i="4" s="1"/>
  <c r="K37" i="4"/>
  <c r="L37" i="4" s="1"/>
  <c r="K38" i="4"/>
  <c r="L38" i="4" s="1"/>
  <c r="K39" i="4"/>
  <c r="L39" i="4" s="1"/>
  <c r="K40" i="4"/>
  <c r="L40" i="4" s="1"/>
  <c r="K41" i="4"/>
  <c r="L41" i="4" s="1"/>
  <c r="K42" i="4"/>
  <c r="L42" i="4" s="1"/>
  <c r="K43" i="4"/>
  <c r="L43" i="4" s="1"/>
  <c r="K44" i="4"/>
  <c r="L44" i="4" s="1"/>
  <c r="K45" i="4"/>
  <c r="L45" i="4" s="1"/>
  <c r="K46" i="4"/>
  <c r="L46" i="4" s="1"/>
  <c r="K47" i="4"/>
  <c r="L47" i="4" s="1"/>
  <c r="K48" i="4"/>
  <c r="L48" i="4" s="1"/>
  <c r="K49" i="4"/>
  <c r="L49" i="4" s="1"/>
  <c r="K50" i="4"/>
  <c r="L50" i="4" s="1"/>
  <c r="K51" i="4"/>
  <c r="L51" i="4" s="1"/>
  <c r="K52" i="4"/>
  <c r="L52" i="4" s="1"/>
  <c r="K53" i="4"/>
  <c r="L53" i="4" s="1"/>
  <c r="K54" i="4"/>
  <c r="L54" i="4" s="1"/>
  <c r="K55" i="4"/>
  <c r="L55" i="4" s="1"/>
  <c r="K56" i="4"/>
  <c r="L56" i="4" s="1"/>
  <c r="K57" i="4"/>
  <c r="L57" i="4" s="1"/>
  <c r="K58" i="4"/>
  <c r="L58" i="4" s="1"/>
  <c r="K59" i="4"/>
  <c r="L59" i="4" s="1"/>
  <c r="K60" i="4"/>
  <c r="L60" i="4" s="1"/>
  <c r="K61" i="4"/>
  <c r="L61" i="4" s="1"/>
  <c r="K62" i="4"/>
  <c r="L62" i="4" s="1"/>
  <c r="K63" i="4"/>
  <c r="L63" i="4" s="1"/>
  <c r="K64" i="4"/>
  <c r="L64" i="4" s="1"/>
  <c r="K65" i="4"/>
  <c r="L65" i="4" s="1"/>
  <c r="K66" i="4"/>
  <c r="L66" i="4" s="1"/>
  <c r="K67" i="4"/>
  <c r="L67" i="4" s="1"/>
  <c r="K68" i="4"/>
  <c r="L68" i="4" s="1"/>
  <c r="K69" i="4"/>
  <c r="L69" i="4" s="1"/>
  <c r="K70" i="4"/>
  <c r="L70" i="4" s="1"/>
  <c r="K71" i="4"/>
  <c r="L71" i="4" s="1"/>
  <c r="K72" i="4"/>
  <c r="L72" i="4" s="1"/>
  <c r="K73" i="4"/>
  <c r="L73" i="4" s="1"/>
  <c r="K74" i="4"/>
  <c r="L74" i="4" s="1"/>
  <c r="K75" i="4"/>
  <c r="L75" i="4" s="1"/>
  <c r="K76" i="4"/>
  <c r="L76" i="4" s="1"/>
  <c r="K77" i="4"/>
  <c r="L77" i="4" s="1"/>
  <c r="K78" i="4"/>
  <c r="L78" i="4" s="1"/>
  <c r="K79" i="4"/>
  <c r="L79" i="4" s="1"/>
  <c r="K80" i="4"/>
  <c r="L80" i="4" s="1"/>
  <c r="K81" i="4"/>
  <c r="L81" i="4" s="1"/>
  <c r="K82" i="4"/>
  <c r="L82" i="4" s="1"/>
  <c r="K83" i="4"/>
  <c r="L83" i="4" s="1"/>
  <c r="K84" i="4"/>
  <c r="L84" i="4" s="1"/>
  <c r="K85" i="4"/>
  <c r="L85" i="4" s="1"/>
  <c r="K86" i="4"/>
  <c r="L86" i="4" s="1"/>
  <c r="K87" i="4"/>
  <c r="L87" i="4" s="1"/>
  <c r="K88" i="4"/>
  <c r="L88" i="4" s="1"/>
  <c r="K89" i="4"/>
  <c r="L89" i="4" s="1"/>
  <c r="K90" i="4"/>
  <c r="L90" i="4" s="1"/>
  <c r="K91" i="4"/>
  <c r="L91" i="4" s="1"/>
  <c r="K92" i="4"/>
  <c r="L92" i="4" s="1"/>
  <c r="K93" i="4"/>
  <c r="L93" i="4" s="1"/>
  <c r="K94" i="4"/>
  <c r="L94" i="4" s="1"/>
  <c r="K95" i="4"/>
  <c r="L95" i="4" s="1"/>
  <c r="K96" i="4"/>
  <c r="L96" i="4" s="1"/>
  <c r="K97" i="4"/>
  <c r="L97" i="4" s="1"/>
  <c r="K98" i="4"/>
  <c r="L98" i="4" s="1"/>
  <c r="K99" i="4"/>
  <c r="L99" i="4" s="1"/>
  <c r="K100" i="4"/>
  <c r="L100" i="4" s="1"/>
  <c r="K101" i="4"/>
  <c r="L101" i="4" s="1"/>
  <c r="K6" i="15"/>
  <c r="K7" i="15"/>
  <c r="K8" i="15"/>
  <c r="K9" i="15"/>
  <c r="K10" i="15"/>
  <c r="K11" i="15"/>
  <c r="K12" i="15"/>
  <c r="K13" i="15"/>
  <c r="K14" i="15"/>
  <c r="K15" i="15"/>
  <c r="K16" i="15"/>
  <c r="K17" i="15"/>
  <c r="K18" i="15"/>
  <c r="K19" i="15"/>
  <c r="K20" i="15"/>
  <c r="K21" i="15"/>
  <c r="K22" i="15"/>
  <c r="K23" i="15"/>
  <c r="K24" i="15"/>
  <c r="K25" i="15"/>
  <c r="K26" i="15"/>
  <c r="K27" i="15"/>
  <c r="K28" i="15"/>
  <c r="K29" i="15"/>
  <c r="K30" i="15"/>
  <c r="K31" i="15"/>
  <c r="K32" i="15"/>
  <c r="K33" i="15"/>
  <c r="K34" i="15"/>
  <c r="K35" i="15"/>
  <c r="K36" i="15"/>
  <c r="K37" i="15"/>
  <c r="K38" i="15"/>
  <c r="K39" i="15"/>
  <c r="K40" i="15"/>
  <c r="K41" i="15"/>
  <c r="K42" i="15"/>
  <c r="K43" i="15"/>
  <c r="K44" i="15"/>
  <c r="K45" i="15"/>
  <c r="K46" i="15"/>
  <c r="K47" i="15"/>
  <c r="K48" i="15"/>
  <c r="K49" i="15"/>
  <c r="K50" i="15"/>
  <c r="K51" i="15"/>
  <c r="K52" i="15"/>
  <c r="K53" i="15"/>
  <c r="K54" i="15"/>
  <c r="K55" i="15"/>
  <c r="K56" i="15"/>
  <c r="K57" i="15"/>
  <c r="K58" i="15"/>
  <c r="K59" i="15"/>
  <c r="K60" i="15"/>
  <c r="K61" i="15"/>
  <c r="K62" i="15"/>
  <c r="K63" i="15"/>
  <c r="K64" i="15"/>
  <c r="K65" i="15"/>
  <c r="K66" i="15"/>
  <c r="K67" i="15"/>
  <c r="K68" i="15"/>
  <c r="K69" i="15"/>
  <c r="K70" i="15"/>
  <c r="K71" i="15"/>
  <c r="K72" i="15"/>
  <c r="K73" i="15"/>
  <c r="K74" i="15"/>
  <c r="K75" i="15"/>
  <c r="K76" i="15"/>
  <c r="K77" i="15"/>
  <c r="K78" i="15"/>
  <c r="K79" i="15"/>
  <c r="K80" i="15"/>
  <c r="K81" i="15"/>
  <c r="K82" i="15"/>
  <c r="K83" i="15"/>
  <c r="K84" i="15"/>
  <c r="K85" i="15"/>
  <c r="K86" i="15"/>
  <c r="K87" i="15"/>
  <c r="K88" i="15"/>
  <c r="K89" i="15"/>
  <c r="K90" i="15"/>
  <c r="K91" i="15"/>
  <c r="K92" i="15"/>
  <c r="K93" i="15"/>
  <c r="K94" i="15"/>
  <c r="K95" i="15"/>
  <c r="K96" i="15"/>
  <c r="K97" i="15"/>
  <c r="K98" i="15"/>
  <c r="K99" i="15"/>
  <c r="K100" i="15"/>
  <c r="K101" i="15"/>
  <c r="K102" i="15"/>
  <c r="K103" i="15"/>
  <c r="K104" i="15"/>
  <c r="I6" i="15"/>
  <c r="I7" i="15"/>
  <c r="I8" i="15"/>
  <c r="I9" i="15"/>
  <c r="I10" i="15"/>
  <c r="I11" i="15"/>
  <c r="I12" i="15"/>
  <c r="I13" i="15"/>
  <c r="I14" i="15"/>
  <c r="I15" i="15"/>
  <c r="I16" i="15"/>
  <c r="I17" i="15"/>
  <c r="I18" i="15"/>
  <c r="I19" i="15"/>
  <c r="I20" i="15"/>
  <c r="I21" i="15"/>
  <c r="I22" i="15"/>
  <c r="I23" i="15"/>
  <c r="I24" i="15"/>
  <c r="I25" i="15"/>
  <c r="I26" i="15"/>
  <c r="I27" i="15"/>
  <c r="I28" i="15"/>
  <c r="I29" i="15"/>
  <c r="I30" i="15"/>
  <c r="I31" i="15"/>
  <c r="I32" i="15"/>
  <c r="I33" i="15"/>
  <c r="I34" i="15"/>
  <c r="I35" i="15"/>
  <c r="I36" i="15"/>
  <c r="I37" i="15"/>
  <c r="I38" i="15"/>
  <c r="I39" i="15"/>
  <c r="I40" i="15"/>
  <c r="I41" i="15"/>
  <c r="I42" i="15"/>
  <c r="I43" i="15"/>
  <c r="I44" i="15"/>
  <c r="I45" i="15"/>
  <c r="I46" i="15"/>
  <c r="I47" i="15"/>
  <c r="I48" i="15"/>
  <c r="I49" i="15"/>
  <c r="I50" i="15"/>
  <c r="I51" i="15"/>
  <c r="I52" i="15"/>
  <c r="I53" i="15"/>
  <c r="I54" i="15"/>
  <c r="I55" i="15"/>
  <c r="I56" i="15"/>
  <c r="I57" i="15"/>
  <c r="I58" i="15"/>
  <c r="I59" i="15"/>
  <c r="I60" i="15"/>
  <c r="I61" i="15"/>
  <c r="I62" i="15"/>
  <c r="I63" i="15"/>
  <c r="I64" i="15"/>
  <c r="I65" i="15"/>
  <c r="I66" i="15"/>
  <c r="I67" i="15"/>
  <c r="I68" i="15"/>
  <c r="I69" i="15"/>
  <c r="I70" i="15"/>
  <c r="I71" i="15"/>
  <c r="I72" i="15"/>
  <c r="I73" i="15"/>
  <c r="I74" i="15"/>
  <c r="I75" i="15"/>
  <c r="I76" i="15"/>
  <c r="I77" i="15"/>
  <c r="I78" i="15"/>
  <c r="I79" i="15"/>
  <c r="I80" i="15"/>
  <c r="I81" i="15"/>
  <c r="I82" i="15"/>
  <c r="I83" i="15"/>
  <c r="I84" i="15"/>
  <c r="I85" i="15"/>
  <c r="I86" i="15"/>
  <c r="I87" i="15"/>
  <c r="I88" i="15"/>
  <c r="I89" i="15"/>
  <c r="I90" i="15"/>
  <c r="I91" i="15"/>
  <c r="I92" i="15"/>
  <c r="I93" i="15"/>
  <c r="I94" i="15"/>
  <c r="I95" i="15"/>
  <c r="I96" i="15"/>
  <c r="I97" i="15"/>
  <c r="I98" i="15"/>
  <c r="I99" i="15"/>
  <c r="I100" i="15"/>
  <c r="I101" i="15"/>
  <c r="I102" i="15"/>
  <c r="I103" i="15"/>
  <c r="I104" i="15"/>
  <c r="I5" i="15"/>
  <c r="H6" i="15"/>
  <c r="H7" i="15"/>
  <c r="H8" i="15"/>
  <c r="H9" i="15"/>
  <c r="H10" i="15"/>
  <c r="H11" i="15"/>
  <c r="H12" i="15"/>
  <c r="H13" i="15"/>
  <c r="H14" i="15"/>
  <c r="H15" i="15"/>
  <c r="H16" i="15"/>
  <c r="H17" i="15"/>
  <c r="H18" i="15"/>
  <c r="H19" i="15"/>
  <c r="H20" i="15"/>
  <c r="H21" i="15"/>
  <c r="H22" i="15"/>
  <c r="H23" i="15"/>
  <c r="H24" i="15"/>
  <c r="H25" i="15"/>
  <c r="H26" i="15"/>
  <c r="H27" i="15"/>
  <c r="H28" i="15"/>
  <c r="H29" i="15"/>
  <c r="H30" i="15"/>
  <c r="H31" i="15"/>
  <c r="H32" i="15"/>
  <c r="H33" i="15"/>
  <c r="H34" i="15"/>
  <c r="H35" i="15"/>
  <c r="H36" i="15"/>
  <c r="H37" i="15"/>
  <c r="H38" i="15"/>
  <c r="H39" i="15"/>
  <c r="H40" i="15"/>
  <c r="H41" i="15"/>
  <c r="H42" i="15"/>
  <c r="H43" i="15"/>
  <c r="H44" i="15"/>
  <c r="H45" i="15"/>
  <c r="H46" i="15"/>
  <c r="H47" i="15"/>
  <c r="H48" i="15"/>
  <c r="H49" i="15"/>
  <c r="H50" i="15"/>
  <c r="H51" i="15"/>
  <c r="H52" i="15"/>
  <c r="H53" i="15"/>
  <c r="H54" i="15"/>
  <c r="H55" i="15"/>
  <c r="H56" i="15"/>
  <c r="H57" i="15"/>
  <c r="H58" i="15"/>
  <c r="H59" i="15"/>
  <c r="H60" i="15"/>
  <c r="H61" i="15"/>
  <c r="H62" i="15"/>
  <c r="H63" i="15"/>
  <c r="H64" i="15"/>
  <c r="H65" i="15"/>
  <c r="H66" i="15"/>
  <c r="H67" i="15"/>
  <c r="H68" i="15"/>
  <c r="H69" i="15"/>
  <c r="H70" i="15"/>
  <c r="H71" i="15"/>
  <c r="H72" i="15"/>
  <c r="H73" i="15"/>
  <c r="H74" i="15"/>
  <c r="H75" i="15"/>
  <c r="H76" i="15"/>
  <c r="H77" i="15"/>
  <c r="H78" i="15"/>
  <c r="H79" i="15"/>
  <c r="H80" i="15"/>
  <c r="H81" i="15"/>
  <c r="H82" i="15"/>
  <c r="H83" i="15"/>
  <c r="H84" i="15"/>
  <c r="H85" i="15"/>
  <c r="H86" i="15"/>
  <c r="H87" i="15"/>
  <c r="H88" i="15"/>
  <c r="H89" i="15"/>
  <c r="H90" i="15"/>
  <c r="H91" i="15"/>
  <c r="H92" i="15"/>
  <c r="H93" i="15"/>
  <c r="H94" i="15"/>
  <c r="H95" i="15"/>
  <c r="H96" i="15"/>
  <c r="H97" i="15"/>
  <c r="H98" i="15"/>
  <c r="H99" i="15"/>
  <c r="H100" i="15"/>
  <c r="H101" i="15"/>
  <c r="H102" i="15"/>
  <c r="H103" i="15"/>
  <c r="H104" i="15"/>
  <c r="H5" i="15"/>
  <c r="K5" i="15"/>
  <c r="J6" i="15"/>
  <c r="J7" i="15"/>
  <c r="J8" i="15"/>
  <c r="J9" i="15"/>
  <c r="J10" i="15"/>
  <c r="J11" i="15"/>
  <c r="J12" i="15"/>
  <c r="J13" i="15"/>
  <c r="J14" i="15"/>
  <c r="J15" i="15"/>
  <c r="J16" i="15"/>
  <c r="J17" i="15"/>
  <c r="J18" i="15"/>
  <c r="J19" i="15"/>
  <c r="J20" i="15"/>
  <c r="J21" i="15"/>
  <c r="J22" i="15"/>
  <c r="J23" i="15"/>
  <c r="J24" i="15"/>
  <c r="J25" i="15"/>
  <c r="J26" i="15"/>
  <c r="J27" i="15"/>
  <c r="J28" i="15"/>
  <c r="J29" i="15"/>
  <c r="J30" i="15"/>
  <c r="J31" i="15"/>
  <c r="J32" i="15"/>
  <c r="J33" i="15"/>
  <c r="J34" i="15"/>
  <c r="J35" i="15"/>
  <c r="J36" i="15"/>
  <c r="J37" i="15"/>
  <c r="J38" i="15"/>
  <c r="J39" i="15"/>
  <c r="J40" i="15"/>
  <c r="J41" i="15"/>
  <c r="J42" i="15"/>
  <c r="J43" i="15"/>
  <c r="J44" i="15"/>
  <c r="J45" i="15"/>
  <c r="J46" i="15"/>
  <c r="J47" i="15"/>
  <c r="J48" i="15"/>
  <c r="J49" i="15"/>
  <c r="J50" i="15"/>
  <c r="J51" i="15"/>
  <c r="J52" i="15"/>
  <c r="J53" i="15"/>
  <c r="J54" i="15"/>
  <c r="J55" i="15"/>
  <c r="J56" i="15"/>
  <c r="J57" i="15"/>
  <c r="J58" i="15"/>
  <c r="J59" i="15"/>
  <c r="J60" i="15"/>
  <c r="J61" i="15"/>
  <c r="J62" i="15"/>
  <c r="J63" i="15"/>
  <c r="J64" i="15"/>
  <c r="J65" i="15"/>
  <c r="J66" i="15"/>
  <c r="J67" i="15"/>
  <c r="J68" i="15"/>
  <c r="J69" i="15"/>
  <c r="J70" i="15"/>
  <c r="J71" i="15"/>
  <c r="J72" i="15"/>
  <c r="J73" i="15"/>
  <c r="J74" i="15"/>
  <c r="J75" i="15"/>
  <c r="J76" i="15"/>
  <c r="J77" i="15"/>
  <c r="J78" i="15"/>
  <c r="J79" i="15"/>
  <c r="J80" i="15"/>
  <c r="J81" i="15"/>
  <c r="J82" i="15"/>
  <c r="J83" i="15"/>
  <c r="J84" i="15"/>
  <c r="J85" i="15"/>
  <c r="J86" i="15"/>
  <c r="J87" i="15"/>
  <c r="J88" i="15"/>
  <c r="J89" i="15"/>
  <c r="J90" i="15"/>
  <c r="J91" i="15"/>
  <c r="J92" i="15"/>
  <c r="J93" i="15"/>
  <c r="J94" i="15"/>
  <c r="J95" i="15"/>
  <c r="J96" i="15"/>
  <c r="J97" i="15"/>
  <c r="J98" i="15"/>
  <c r="J99" i="15"/>
  <c r="J100" i="15"/>
  <c r="J101" i="15"/>
  <c r="J102" i="15"/>
  <c r="J103" i="15"/>
  <c r="J104" i="15"/>
  <c r="J5" i="15"/>
  <c r="G60" i="15"/>
  <c r="G61" i="15"/>
  <c r="F6" i="15"/>
  <c r="F7" i="15"/>
  <c r="F8" i="15"/>
  <c r="F9" i="15"/>
  <c r="F10" i="15"/>
  <c r="F11" i="15"/>
  <c r="F12" i="15"/>
  <c r="F13" i="15"/>
  <c r="F14" i="15"/>
  <c r="F15" i="15"/>
  <c r="F16" i="15"/>
  <c r="F17" i="15"/>
  <c r="F18" i="15"/>
  <c r="F19" i="15"/>
  <c r="F20" i="15"/>
  <c r="F21" i="15"/>
  <c r="F22" i="15"/>
  <c r="F23" i="15"/>
  <c r="F24" i="15"/>
  <c r="F25" i="15"/>
  <c r="F26" i="15"/>
  <c r="F27" i="15"/>
  <c r="F28" i="15"/>
  <c r="F29" i="15"/>
  <c r="F30" i="15"/>
  <c r="F31" i="15"/>
  <c r="F32" i="15"/>
  <c r="F33" i="15"/>
  <c r="F34" i="15"/>
  <c r="F35" i="15"/>
  <c r="F36" i="15"/>
  <c r="F37" i="15"/>
  <c r="F38" i="15"/>
  <c r="F39" i="15"/>
  <c r="F40" i="15"/>
  <c r="F41" i="15"/>
  <c r="F42" i="15"/>
  <c r="F43" i="15"/>
  <c r="F44" i="15"/>
  <c r="F45" i="15"/>
  <c r="F46" i="15"/>
  <c r="F47" i="15"/>
  <c r="F48" i="15"/>
  <c r="F49" i="15"/>
  <c r="F50" i="15"/>
  <c r="F51" i="15"/>
  <c r="F52" i="15"/>
  <c r="F53" i="15"/>
  <c r="F54" i="15"/>
  <c r="F55" i="15"/>
  <c r="F56" i="15"/>
  <c r="F57" i="15"/>
  <c r="F58" i="15"/>
  <c r="F59" i="15"/>
  <c r="F60" i="15"/>
  <c r="F61" i="15"/>
  <c r="F62" i="15"/>
  <c r="F63" i="15"/>
  <c r="F64" i="15"/>
  <c r="F65" i="15"/>
  <c r="F66" i="15"/>
  <c r="F67" i="15"/>
  <c r="F68" i="15"/>
  <c r="F69" i="15"/>
  <c r="F70" i="15"/>
  <c r="F71" i="15"/>
  <c r="F72" i="15"/>
  <c r="F73" i="15"/>
  <c r="F74" i="15"/>
  <c r="F75" i="15"/>
  <c r="F76" i="15"/>
  <c r="F77" i="15"/>
  <c r="F78" i="15"/>
  <c r="F79" i="15"/>
  <c r="F80" i="15"/>
  <c r="F81" i="15"/>
  <c r="F82" i="15"/>
  <c r="F83" i="15"/>
  <c r="F84" i="15"/>
  <c r="F85" i="15"/>
  <c r="F86" i="15"/>
  <c r="F87" i="15"/>
  <c r="F88" i="15"/>
  <c r="F89" i="15"/>
  <c r="F90" i="15"/>
  <c r="F91" i="15"/>
  <c r="F92" i="15"/>
  <c r="F93" i="15"/>
  <c r="F94" i="15"/>
  <c r="F95" i="15"/>
  <c r="F96" i="15"/>
  <c r="F97" i="15"/>
  <c r="F98" i="15"/>
  <c r="F99" i="15"/>
  <c r="F100" i="15"/>
  <c r="F101" i="15"/>
  <c r="F102" i="15"/>
  <c r="F103" i="15"/>
  <c r="F104" i="15"/>
  <c r="E6" i="15"/>
  <c r="E7" i="15"/>
  <c r="E8" i="15"/>
  <c r="E9" i="15"/>
  <c r="E10" i="15"/>
  <c r="E11" i="15"/>
  <c r="E12" i="15"/>
  <c r="E13" i="15"/>
  <c r="E14" i="15"/>
  <c r="E15" i="15"/>
  <c r="E16" i="15"/>
  <c r="E17" i="15"/>
  <c r="E18" i="15"/>
  <c r="E19" i="15"/>
  <c r="E20" i="15"/>
  <c r="E21" i="15"/>
  <c r="E22" i="15"/>
  <c r="E23" i="15"/>
  <c r="E24" i="15"/>
  <c r="E25" i="15"/>
  <c r="E26" i="15"/>
  <c r="E27" i="15"/>
  <c r="E28" i="15"/>
  <c r="E29" i="15"/>
  <c r="E30" i="15"/>
  <c r="E31" i="15"/>
  <c r="E32" i="15"/>
  <c r="E33" i="15"/>
  <c r="E34" i="15"/>
  <c r="E35" i="15"/>
  <c r="E36" i="15"/>
  <c r="E37" i="15"/>
  <c r="E38" i="15"/>
  <c r="E39" i="15"/>
  <c r="E40" i="15"/>
  <c r="E41" i="15"/>
  <c r="E42" i="15"/>
  <c r="E43" i="15"/>
  <c r="E44" i="15"/>
  <c r="E45" i="15"/>
  <c r="E46" i="15"/>
  <c r="E47" i="15"/>
  <c r="E48" i="15"/>
  <c r="E49" i="15"/>
  <c r="E50" i="15"/>
  <c r="E51" i="15"/>
  <c r="E52" i="15"/>
  <c r="E53" i="15"/>
  <c r="E54" i="15"/>
  <c r="E55" i="15"/>
  <c r="E56" i="15"/>
  <c r="E57" i="15"/>
  <c r="E58" i="15"/>
  <c r="E59" i="15"/>
  <c r="E60" i="15"/>
  <c r="E61" i="15"/>
  <c r="E62" i="15"/>
  <c r="E63" i="15"/>
  <c r="E64" i="15"/>
  <c r="E65" i="15"/>
  <c r="E66" i="15"/>
  <c r="E67" i="15"/>
  <c r="E68" i="15"/>
  <c r="E69" i="15"/>
  <c r="E70" i="15"/>
  <c r="E71" i="15"/>
  <c r="E72" i="15"/>
  <c r="E73" i="15"/>
  <c r="E74" i="15"/>
  <c r="E75" i="15"/>
  <c r="E76" i="15"/>
  <c r="E77" i="15"/>
  <c r="E78" i="15"/>
  <c r="E79" i="15"/>
  <c r="E80" i="15"/>
  <c r="E81" i="15"/>
  <c r="E82" i="15"/>
  <c r="E83" i="15"/>
  <c r="E84" i="15"/>
  <c r="E85" i="15"/>
  <c r="E86" i="15"/>
  <c r="E87" i="15"/>
  <c r="E88" i="15"/>
  <c r="E89" i="15"/>
  <c r="E90" i="15"/>
  <c r="E91" i="15"/>
  <c r="E92" i="15"/>
  <c r="E93" i="15"/>
  <c r="E94" i="15"/>
  <c r="E95" i="15"/>
  <c r="E96" i="15"/>
  <c r="E97" i="15"/>
  <c r="E98" i="15"/>
  <c r="E99" i="15"/>
  <c r="E100" i="15"/>
  <c r="E101" i="15"/>
  <c r="E102" i="15"/>
  <c r="E103" i="15"/>
  <c r="E104" i="15"/>
  <c r="D6" i="15"/>
  <c r="D7" i="15"/>
  <c r="D8" i="15"/>
  <c r="D9" i="15"/>
  <c r="D10" i="15"/>
  <c r="D11" i="15"/>
  <c r="D12" i="15"/>
  <c r="D13" i="15"/>
  <c r="D14" i="15"/>
  <c r="D15" i="15"/>
  <c r="D16" i="15"/>
  <c r="D17" i="15"/>
  <c r="D18" i="15"/>
  <c r="D19" i="15"/>
  <c r="D20" i="15"/>
  <c r="D21" i="15"/>
  <c r="D22" i="15"/>
  <c r="D23" i="15"/>
  <c r="D24" i="15"/>
  <c r="D25" i="15"/>
  <c r="D26" i="15"/>
  <c r="D27" i="15"/>
  <c r="D28" i="15"/>
  <c r="D29" i="15"/>
  <c r="D30" i="15"/>
  <c r="D31" i="15"/>
  <c r="D32" i="15"/>
  <c r="D33" i="15"/>
  <c r="D34" i="15"/>
  <c r="D35" i="15"/>
  <c r="D36" i="15"/>
  <c r="D37" i="15"/>
  <c r="D38" i="15"/>
  <c r="D39" i="15"/>
  <c r="D40" i="15"/>
  <c r="D41" i="15"/>
  <c r="D42" i="15"/>
  <c r="D43" i="15"/>
  <c r="D44" i="15"/>
  <c r="D45" i="15"/>
  <c r="D46" i="15"/>
  <c r="D47" i="15"/>
  <c r="D48" i="15"/>
  <c r="D49" i="15"/>
  <c r="D50" i="15"/>
  <c r="D51" i="15"/>
  <c r="D52" i="15"/>
  <c r="D53" i="15"/>
  <c r="D54" i="15"/>
  <c r="D55" i="15"/>
  <c r="D56" i="15"/>
  <c r="D57" i="15"/>
  <c r="D58" i="15"/>
  <c r="D59" i="15"/>
  <c r="D60" i="15"/>
  <c r="D61" i="15"/>
  <c r="D62" i="15"/>
  <c r="D63" i="15"/>
  <c r="D64" i="15"/>
  <c r="D65" i="15"/>
  <c r="D66" i="15"/>
  <c r="D67" i="15"/>
  <c r="D68" i="15"/>
  <c r="D69" i="15"/>
  <c r="D70" i="15"/>
  <c r="D71" i="15"/>
  <c r="D72" i="15"/>
  <c r="D73" i="15"/>
  <c r="D74" i="15"/>
  <c r="D75" i="15"/>
  <c r="D76" i="15"/>
  <c r="D77" i="15"/>
  <c r="D78" i="15"/>
  <c r="D79" i="15"/>
  <c r="D80" i="15"/>
  <c r="D81" i="15"/>
  <c r="D82" i="15"/>
  <c r="D83" i="15"/>
  <c r="D84" i="15"/>
  <c r="D85" i="15"/>
  <c r="D86" i="15"/>
  <c r="D87" i="15"/>
  <c r="D88" i="15"/>
  <c r="D89" i="15"/>
  <c r="D90" i="15"/>
  <c r="D91" i="15"/>
  <c r="D92" i="15"/>
  <c r="D93" i="15"/>
  <c r="D94" i="15"/>
  <c r="D95" i="15"/>
  <c r="D96" i="15"/>
  <c r="D97" i="15"/>
  <c r="D98" i="15"/>
  <c r="D99" i="15"/>
  <c r="D100" i="15"/>
  <c r="D101" i="15"/>
  <c r="D102" i="15"/>
  <c r="D103" i="15"/>
  <c r="D104" i="15"/>
  <c r="C6" i="15"/>
  <c r="C7" i="15"/>
  <c r="C8" i="15"/>
  <c r="C9" i="15"/>
  <c r="C10" i="15"/>
  <c r="C11" i="15"/>
  <c r="C12" i="15"/>
  <c r="C13" i="15"/>
  <c r="C14" i="15"/>
  <c r="C15" i="15"/>
  <c r="C16" i="15"/>
  <c r="C17" i="15"/>
  <c r="C18" i="15"/>
  <c r="C19" i="15"/>
  <c r="C20" i="15"/>
  <c r="C21" i="15"/>
  <c r="C22" i="15"/>
  <c r="C23" i="15"/>
  <c r="C24" i="15"/>
  <c r="C25" i="15"/>
  <c r="C26" i="15"/>
  <c r="C27" i="15"/>
  <c r="C28" i="15"/>
  <c r="C29" i="15"/>
  <c r="C30" i="15"/>
  <c r="C31" i="15"/>
  <c r="C32" i="15"/>
  <c r="C33" i="15"/>
  <c r="C34" i="15"/>
  <c r="C35" i="15"/>
  <c r="C36" i="15"/>
  <c r="C37" i="15"/>
  <c r="C38" i="15"/>
  <c r="C39" i="15"/>
  <c r="C40" i="15"/>
  <c r="C41" i="15"/>
  <c r="C42" i="15"/>
  <c r="C43" i="15"/>
  <c r="C44" i="15"/>
  <c r="C45" i="15"/>
  <c r="C46" i="15"/>
  <c r="C47" i="15"/>
  <c r="C48" i="15"/>
  <c r="C49" i="15"/>
  <c r="C50" i="15"/>
  <c r="C51" i="15"/>
  <c r="C52" i="15"/>
  <c r="C53" i="15"/>
  <c r="C54" i="15"/>
  <c r="C55" i="15"/>
  <c r="C56" i="15"/>
  <c r="C57" i="15"/>
  <c r="C58" i="15"/>
  <c r="C59" i="15"/>
  <c r="C60" i="15"/>
  <c r="C61" i="15"/>
  <c r="C62" i="15"/>
  <c r="C63" i="15"/>
  <c r="C64" i="15"/>
  <c r="C65" i="15"/>
  <c r="C66" i="15"/>
  <c r="C67" i="15"/>
  <c r="C68" i="15"/>
  <c r="C69" i="15"/>
  <c r="C70" i="15"/>
  <c r="C71" i="15"/>
  <c r="C72" i="15"/>
  <c r="C73" i="15"/>
  <c r="C74" i="15"/>
  <c r="C75" i="15"/>
  <c r="C76" i="15"/>
  <c r="C77" i="15"/>
  <c r="C78" i="15"/>
  <c r="C79" i="15"/>
  <c r="C80" i="15"/>
  <c r="C81" i="15"/>
  <c r="C82" i="15"/>
  <c r="C83" i="15"/>
  <c r="C84" i="15"/>
  <c r="C85" i="15"/>
  <c r="C86" i="15"/>
  <c r="C87" i="15"/>
  <c r="C88" i="15"/>
  <c r="C89" i="15"/>
  <c r="C90" i="15"/>
  <c r="C91" i="15"/>
  <c r="C92" i="15"/>
  <c r="C93" i="15"/>
  <c r="C94" i="15"/>
  <c r="C95" i="15"/>
  <c r="C96" i="15"/>
  <c r="C97" i="15"/>
  <c r="C98" i="15"/>
  <c r="C99" i="15"/>
  <c r="C100" i="15"/>
  <c r="C101" i="15"/>
  <c r="C102" i="15"/>
  <c r="C103" i="15"/>
  <c r="C104" i="15"/>
  <c r="B93" i="15"/>
  <c r="L93" i="15" s="1"/>
  <c r="O93" i="15" s="1"/>
  <c r="B94" i="15"/>
  <c r="L94" i="15" s="1"/>
  <c r="N94" i="15" s="1"/>
  <c r="B95" i="15"/>
  <c r="L95" i="15" s="1"/>
  <c r="N95" i="15" s="1"/>
  <c r="B96" i="15"/>
  <c r="L96" i="15" s="1"/>
  <c r="N96" i="15" s="1"/>
  <c r="B97" i="15"/>
  <c r="L97" i="15" s="1"/>
  <c r="N97" i="15" s="1"/>
  <c r="B98" i="15"/>
  <c r="L98" i="15" s="1"/>
  <c r="N98" i="15" s="1"/>
  <c r="B99" i="15"/>
  <c r="L99" i="15" s="1"/>
  <c r="N99" i="15" s="1"/>
  <c r="B100" i="15"/>
  <c r="L100" i="15" s="1"/>
  <c r="N100" i="15" s="1"/>
  <c r="B101" i="15"/>
  <c r="B102" i="15"/>
  <c r="L102" i="15" s="1"/>
  <c r="O102" i="15" s="1"/>
  <c r="B103" i="15"/>
  <c r="L103" i="15" s="1"/>
  <c r="O103" i="15" s="1"/>
  <c r="B104" i="15"/>
  <c r="L104" i="15" s="1"/>
  <c r="O104" i="15" s="1"/>
  <c r="B6" i="15"/>
  <c r="L6" i="15" s="1"/>
  <c r="O6" i="15" s="1"/>
  <c r="B7" i="15"/>
  <c r="L7" i="15" s="1"/>
  <c r="O7" i="15" s="1"/>
  <c r="B8" i="15"/>
  <c r="L8" i="15" s="1"/>
  <c r="O8" i="15" s="1"/>
  <c r="B9" i="15"/>
  <c r="L9" i="15" s="1"/>
  <c r="O9" i="15" s="1"/>
  <c r="B10" i="15"/>
  <c r="L10" i="15" s="1"/>
  <c r="O10" i="15" s="1"/>
  <c r="B11" i="15"/>
  <c r="L11" i="15" s="1"/>
  <c r="O11" i="15" s="1"/>
  <c r="B12" i="15"/>
  <c r="L12" i="15" s="1"/>
  <c r="O12" i="15" s="1"/>
  <c r="B13" i="15"/>
  <c r="L13" i="15" s="1"/>
  <c r="O13" i="15" s="1"/>
  <c r="B14" i="15"/>
  <c r="L14" i="15" s="1"/>
  <c r="N14" i="15" s="1"/>
  <c r="B15" i="15"/>
  <c r="L15" i="15" s="1"/>
  <c r="N15" i="15" s="1"/>
  <c r="B16" i="15"/>
  <c r="L16" i="15" s="1"/>
  <c r="N16" i="15" s="1"/>
  <c r="B17" i="15"/>
  <c r="L17" i="15" s="1"/>
  <c r="O17" i="15" s="1"/>
  <c r="B18" i="15"/>
  <c r="L18" i="15" s="1"/>
  <c r="O18" i="15" s="1"/>
  <c r="B19" i="15"/>
  <c r="L19" i="15" s="1"/>
  <c r="O19" i="15" s="1"/>
  <c r="B20" i="15"/>
  <c r="L20" i="15" s="1"/>
  <c r="O20" i="15" s="1"/>
  <c r="B21" i="15"/>
  <c r="L21" i="15" s="1"/>
  <c r="O21" i="15" s="1"/>
  <c r="B22" i="15"/>
  <c r="L22" i="15" s="1"/>
  <c r="O22" i="15" s="1"/>
  <c r="B23" i="15"/>
  <c r="L23" i="15" s="1"/>
  <c r="O23" i="15" s="1"/>
  <c r="B24" i="15"/>
  <c r="L24" i="15" s="1"/>
  <c r="O24" i="15" s="1"/>
  <c r="B25" i="15"/>
  <c r="L25" i="15" s="1"/>
  <c r="O25" i="15" s="1"/>
  <c r="B26" i="15"/>
  <c r="B27" i="15"/>
  <c r="B28" i="15"/>
  <c r="B29" i="15"/>
  <c r="B30" i="15"/>
  <c r="L30" i="15" s="1"/>
  <c r="O30" i="15" s="1"/>
  <c r="B31" i="15"/>
  <c r="L31" i="15" s="1"/>
  <c r="O31" i="15" s="1"/>
  <c r="B32" i="15"/>
  <c r="L32" i="15" s="1"/>
  <c r="O32" i="15" s="1"/>
  <c r="B33" i="15"/>
  <c r="L33" i="15" s="1"/>
  <c r="O33" i="15" s="1"/>
  <c r="B34" i="15"/>
  <c r="L34" i="15" s="1"/>
  <c r="O34" i="15" s="1"/>
  <c r="B35" i="15"/>
  <c r="L35" i="15" s="1"/>
  <c r="N35" i="15" s="1"/>
  <c r="B36" i="15"/>
  <c r="L36" i="15" s="1"/>
  <c r="O36" i="15" s="1"/>
  <c r="B37" i="15"/>
  <c r="L37" i="15" s="1"/>
  <c r="N37" i="15" s="1"/>
  <c r="B38" i="15"/>
  <c r="B39" i="15"/>
  <c r="B40" i="15"/>
  <c r="L40" i="15" s="1"/>
  <c r="N40" i="15" s="1"/>
  <c r="B41" i="15"/>
  <c r="L41" i="15" s="1"/>
  <c r="O41" i="15" s="1"/>
  <c r="B42" i="15"/>
  <c r="L42" i="15" s="1"/>
  <c r="O42" i="15" s="1"/>
  <c r="B43" i="15"/>
  <c r="L43" i="15" s="1"/>
  <c r="O43" i="15" s="1"/>
  <c r="B44" i="15"/>
  <c r="L44" i="15" s="1"/>
  <c r="O44" i="15" s="1"/>
  <c r="B45" i="15"/>
  <c r="L45" i="15" s="1"/>
  <c r="O45" i="15" s="1"/>
  <c r="B46" i="15"/>
  <c r="L46" i="15" s="1"/>
  <c r="O46" i="15" s="1"/>
  <c r="B47" i="15"/>
  <c r="L47" i="15" s="1"/>
  <c r="N47" i="15" s="1"/>
  <c r="B48" i="15"/>
  <c r="L48" i="15" s="1"/>
  <c r="N48" i="15" s="1"/>
  <c r="B49" i="15"/>
  <c r="L49" i="15" s="1"/>
  <c r="N49" i="15" s="1"/>
  <c r="B50" i="15"/>
  <c r="L50" i="15" s="1"/>
  <c r="N50" i="15" s="1"/>
  <c r="B51" i="15"/>
  <c r="L51" i="15" s="1"/>
  <c r="N51" i="15" s="1"/>
  <c r="B52" i="15"/>
  <c r="L52" i="15" s="1"/>
  <c r="N52" i="15" s="1"/>
  <c r="B53" i="15"/>
  <c r="L53" i="15" s="1"/>
  <c r="O53" i="15" s="1"/>
  <c r="B54" i="15"/>
  <c r="L54" i="15" s="1"/>
  <c r="O54" i="15" s="1"/>
  <c r="B55" i="15"/>
  <c r="L55" i="15" s="1"/>
  <c r="O55" i="15" s="1"/>
  <c r="B56" i="15"/>
  <c r="L56" i="15" s="1"/>
  <c r="O56" i="15" s="1"/>
  <c r="B57" i="15"/>
  <c r="L57" i="15" s="1"/>
  <c r="O57" i="15" s="1"/>
  <c r="B58" i="15"/>
  <c r="L58" i="15" s="1"/>
  <c r="O58" i="15" s="1"/>
  <c r="B59" i="15"/>
  <c r="L59" i="15" s="1"/>
  <c r="O59" i="15" s="1"/>
  <c r="B60" i="15"/>
  <c r="L60" i="15" s="1"/>
  <c r="O60" i="15" s="1"/>
  <c r="B61" i="15"/>
  <c r="L61" i="15" s="1"/>
  <c r="O61" i="15" s="1"/>
  <c r="B62" i="15"/>
  <c r="B63" i="15"/>
  <c r="B64" i="15"/>
  <c r="B65" i="15"/>
  <c r="B66" i="15"/>
  <c r="L66" i="15" s="1"/>
  <c r="O66" i="15" s="1"/>
  <c r="B67" i="15"/>
  <c r="L67" i="15" s="1"/>
  <c r="O67" i="15" s="1"/>
  <c r="B68" i="15"/>
  <c r="L68" i="15" s="1"/>
  <c r="O68" i="15" s="1"/>
  <c r="B69" i="15"/>
  <c r="L69" i="15" s="1"/>
  <c r="O69" i="15" s="1"/>
  <c r="B70" i="15"/>
  <c r="L70" i="15" s="1"/>
  <c r="O70" i="15" s="1"/>
  <c r="B71" i="15"/>
  <c r="L71" i="15" s="1"/>
  <c r="O71" i="15" s="1"/>
  <c r="B72" i="15"/>
  <c r="L72" i="15" s="1"/>
  <c r="O72" i="15" s="1"/>
  <c r="B73" i="15"/>
  <c r="L73" i="15" s="1"/>
  <c r="O73" i="15" s="1"/>
  <c r="B74" i="15"/>
  <c r="B75" i="15"/>
  <c r="B76" i="15"/>
  <c r="L76" i="15" s="1"/>
  <c r="N76" i="15" s="1"/>
  <c r="B77" i="15"/>
  <c r="L77" i="15" s="1"/>
  <c r="O77" i="15" s="1"/>
  <c r="B78" i="15"/>
  <c r="L78" i="15" s="1"/>
  <c r="O78" i="15" s="1"/>
  <c r="B79" i="15"/>
  <c r="L79" i="15" s="1"/>
  <c r="O79" i="15" s="1"/>
  <c r="B80" i="15"/>
  <c r="L80" i="15" s="1"/>
  <c r="O80" i="15" s="1"/>
  <c r="B81" i="15"/>
  <c r="L81" i="15" s="1"/>
  <c r="O81" i="15" s="1"/>
  <c r="B82" i="15"/>
  <c r="L82" i="15" s="1"/>
  <c r="O82" i="15" s="1"/>
  <c r="B83" i="15"/>
  <c r="L83" i="15" s="1"/>
  <c r="O83" i="15" s="1"/>
  <c r="B84" i="15"/>
  <c r="L84" i="15" s="1"/>
  <c r="O84" i="15" s="1"/>
  <c r="B85" i="15"/>
  <c r="L85" i="15" s="1"/>
  <c r="O85" i="15" s="1"/>
  <c r="B86" i="15"/>
  <c r="L86" i="15" s="1"/>
  <c r="N86" i="15" s="1"/>
  <c r="B87" i="15"/>
  <c r="L87" i="15" s="1"/>
  <c r="N87" i="15" s="1"/>
  <c r="B88" i="15"/>
  <c r="L88" i="15" s="1"/>
  <c r="N88" i="15" s="1"/>
  <c r="B89" i="15"/>
  <c r="L89" i="15" s="1"/>
  <c r="N89" i="15" s="1"/>
  <c r="B90" i="15"/>
  <c r="L90" i="15" s="1"/>
  <c r="O90" i="15" s="1"/>
  <c r="B91" i="15"/>
  <c r="L91" i="15" s="1"/>
  <c r="O91" i="15" s="1"/>
  <c r="B92" i="15"/>
  <c r="L92" i="15" s="1"/>
  <c r="O92" i="15" s="1"/>
  <c r="G3" i="3"/>
  <c r="G6" i="15" s="1"/>
  <c r="G4" i="3"/>
  <c r="G7" i="15" s="1"/>
  <c r="G5" i="3"/>
  <c r="G8" i="15" s="1"/>
  <c r="G6" i="3"/>
  <c r="G9" i="15" s="1"/>
  <c r="G7" i="3"/>
  <c r="G10" i="15" s="1"/>
  <c r="G8" i="3"/>
  <c r="G11" i="15" s="1"/>
  <c r="G9" i="3"/>
  <c r="G12" i="15" s="1"/>
  <c r="G10" i="3"/>
  <c r="G13" i="15" s="1"/>
  <c r="G11" i="3"/>
  <c r="G14" i="15" s="1"/>
  <c r="G12" i="3"/>
  <c r="G15" i="15" s="1"/>
  <c r="G13" i="3"/>
  <c r="G16" i="15" s="1"/>
  <c r="G14" i="3"/>
  <c r="G17" i="15" s="1"/>
  <c r="G15" i="3"/>
  <c r="G18" i="15" s="1"/>
  <c r="G16" i="3"/>
  <c r="G19" i="15" s="1"/>
  <c r="G17" i="3"/>
  <c r="G20" i="15" s="1"/>
  <c r="G18" i="3"/>
  <c r="G21" i="15" s="1"/>
  <c r="G19" i="3"/>
  <c r="G22" i="15" s="1"/>
  <c r="G20" i="3"/>
  <c r="G23" i="15" s="1"/>
  <c r="G21" i="3"/>
  <c r="G24" i="15" s="1"/>
  <c r="G22" i="3"/>
  <c r="G25" i="15" s="1"/>
  <c r="G23" i="3"/>
  <c r="G26" i="15" s="1"/>
  <c r="G24" i="3"/>
  <c r="G27" i="15" s="1"/>
  <c r="G25" i="3"/>
  <c r="G28" i="15" s="1"/>
  <c r="G26" i="3"/>
  <c r="G29" i="15" s="1"/>
  <c r="G27" i="3"/>
  <c r="G30" i="15" s="1"/>
  <c r="G28" i="3"/>
  <c r="G31" i="15" s="1"/>
  <c r="G29" i="3"/>
  <c r="G32" i="15" s="1"/>
  <c r="G30" i="3"/>
  <c r="G33" i="15" s="1"/>
  <c r="G31" i="3"/>
  <c r="G34" i="15" s="1"/>
  <c r="G32" i="3"/>
  <c r="G35" i="15" s="1"/>
  <c r="G33" i="3"/>
  <c r="G36" i="15" s="1"/>
  <c r="G34" i="3"/>
  <c r="G37" i="15" s="1"/>
  <c r="G35" i="3"/>
  <c r="G38" i="15" s="1"/>
  <c r="G36" i="3"/>
  <c r="G39" i="15" s="1"/>
  <c r="G37" i="3"/>
  <c r="G40" i="15" s="1"/>
  <c r="G38" i="3"/>
  <c r="G41" i="15" s="1"/>
  <c r="G39" i="3"/>
  <c r="G42" i="15" s="1"/>
  <c r="G40" i="3"/>
  <c r="G43" i="15" s="1"/>
  <c r="G41" i="3"/>
  <c r="G44" i="15" s="1"/>
  <c r="G42" i="3"/>
  <c r="G45" i="15" s="1"/>
  <c r="G43" i="3"/>
  <c r="G46" i="15" s="1"/>
  <c r="G44" i="3"/>
  <c r="G47" i="15" s="1"/>
  <c r="G45" i="3"/>
  <c r="G48" i="15" s="1"/>
  <c r="G46" i="3"/>
  <c r="G49" i="15" s="1"/>
  <c r="G47" i="3"/>
  <c r="G50" i="15" s="1"/>
  <c r="G48" i="3"/>
  <c r="G51" i="15" s="1"/>
  <c r="G49" i="3"/>
  <c r="G52" i="15" s="1"/>
  <c r="G50" i="3"/>
  <c r="G53" i="15" s="1"/>
  <c r="G51" i="3"/>
  <c r="G54" i="15" s="1"/>
  <c r="G52" i="3"/>
  <c r="G55" i="15" s="1"/>
  <c r="G53" i="3"/>
  <c r="G56" i="15" s="1"/>
  <c r="G54" i="3"/>
  <c r="G57" i="15" s="1"/>
  <c r="G55" i="3"/>
  <c r="G58" i="15" s="1"/>
  <c r="G56" i="3"/>
  <c r="G59" i="15" s="1"/>
  <c r="G57" i="3"/>
  <c r="G58" i="3"/>
  <c r="G59" i="3"/>
  <c r="G62" i="15" s="1"/>
  <c r="G60" i="3"/>
  <c r="G63" i="15" s="1"/>
  <c r="G61" i="3"/>
  <c r="G64" i="15" s="1"/>
  <c r="G62" i="3"/>
  <c r="G65" i="15" s="1"/>
  <c r="G63" i="3"/>
  <c r="G66" i="15" s="1"/>
  <c r="G64" i="3"/>
  <c r="G67" i="15" s="1"/>
  <c r="G65" i="3"/>
  <c r="G68" i="15" s="1"/>
  <c r="G66" i="3"/>
  <c r="G69" i="15" s="1"/>
  <c r="G67" i="3"/>
  <c r="G70" i="15" s="1"/>
  <c r="G68" i="3"/>
  <c r="G71" i="15" s="1"/>
  <c r="G69" i="3"/>
  <c r="G72" i="15" s="1"/>
  <c r="G70" i="3"/>
  <c r="G73" i="15" s="1"/>
  <c r="G71" i="3"/>
  <c r="G74" i="15" s="1"/>
  <c r="G72" i="3"/>
  <c r="G75" i="15" s="1"/>
  <c r="G73" i="3"/>
  <c r="G76" i="15" s="1"/>
  <c r="G74" i="3"/>
  <c r="G77" i="15" s="1"/>
  <c r="G75" i="3"/>
  <c r="G78" i="15" s="1"/>
  <c r="G76" i="3"/>
  <c r="G79" i="15" s="1"/>
  <c r="G77" i="3"/>
  <c r="G80" i="15" s="1"/>
  <c r="G78" i="3"/>
  <c r="G81" i="15" s="1"/>
  <c r="G79" i="3"/>
  <c r="G82" i="15" s="1"/>
  <c r="G80" i="3"/>
  <c r="G83" i="15" s="1"/>
  <c r="G81" i="3"/>
  <c r="G84" i="15" s="1"/>
  <c r="G82" i="3"/>
  <c r="G85" i="15" s="1"/>
  <c r="G83" i="3"/>
  <c r="G86" i="15" s="1"/>
  <c r="G84" i="3"/>
  <c r="G87" i="15" s="1"/>
  <c r="G85" i="3"/>
  <c r="G88" i="15" s="1"/>
  <c r="G86" i="3"/>
  <c r="G89" i="15" s="1"/>
  <c r="G87" i="3"/>
  <c r="G90" i="15" s="1"/>
  <c r="G88" i="3"/>
  <c r="G91" i="15" s="1"/>
  <c r="G89" i="3"/>
  <c r="G92" i="15" s="1"/>
  <c r="G90" i="3"/>
  <c r="G93" i="15" s="1"/>
  <c r="G91" i="3"/>
  <c r="G94" i="15" s="1"/>
  <c r="G92" i="3"/>
  <c r="G95" i="15" s="1"/>
  <c r="G93" i="3"/>
  <c r="G96" i="15" s="1"/>
  <c r="G94" i="3"/>
  <c r="G97" i="15" s="1"/>
  <c r="G95" i="3"/>
  <c r="G98" i="15" s="1"/>
  <c r="G96" i="3"/>
  <c r="G99" i="15" s="1"/>
  <c r="G97" i="3"/>
  <c r="G100" i="15" s="1"/>
  <c r="G98" i="3"/>
  <c r="G101" i="15" s="1"/>
  <c r="G99" i="3"/>
  <c r="G102" i="15" s="1"/>
  <c r="G100" i="3"/>
  <c r="G103" i="15" s="1"/>
  <c r="G101" i="3"/>
  <c r="G104" i="15" s="1"/>
  <c r="G2" i="3"/>
  <c r="G5" i="15" s="1"/>
  <c r="F5" i="15"/>
  <c r="E5" i="15"/>
  <c r="D5" i="15"/>
  <c r="C5" i="15"/>
  <c r="B5" i="15"/>
  <c r="L5" i="15" s="1"/>
  <c r="O5" i="15" s="1"/>
  <c r="K7" i="7"/>
  <c r="B11" i="7"/>
  <c r="E7" i="7"/>
  <c r="E11" i="7"/>
  <c r="H7" i="7"/>
  <c r="H11" i="7"/>
  <c r="K11" i="7"/>
  <c r="B7" i="7"/>
  <c r="O74" i="15" l="1"/>
  <c r="N81" i="15"/>
  <c r="N57" i="15"/>
  <c r="N33" i="15"/>
  <c r="N5" i="15"/>
  <c r="N80" i="15"/>
  <c r="N56" i="15"/>
  <c r="N32" i="15"/>
  <c r="N7" i="15"/>
  <c r="O62" i="15"/>
  <c r="N17" i="15"/>
  <c r="N42" i="15"/>
  <c r="N103" i="15"/>
  <c r="N78" i="15"/>
  <c r="N54" i="15"/>
  <c r="N30" i="15"/>
  <c r="O101" i="15"/>
  <c r="N90" i="15"/>
  <c r="O98" i="15"/>
  <c r="O50" i="15"/>
  <c r="N102" i="15"/>
  <c r="N77" i="15"/>
  <c r="N53" i="15"/>
  <c r="N22" i="15"/>
  <c r="O26" i="15"/>
  <c r="N70" i="15"/>
  <c r="N46" i="15"/>
  <c r="N21" i="15"/>
  <c r="O97" i="15"/>
  <c r="O14" i="15"/>
  <c r="N18" i="15"/>
  <c r="N66" i="15"/>
  <c r="N41" i="15"/>
  <c r="N104" i="15"/>
  <c r="N6" i="15"/>
  <c r="N69" i="15"/>
  <c r="N45" i="15"/>
  <c r="N20" i="15"/>
  <c r="O96" i="15"/>
  <c r="O49" i="15"/>
  <c r="O48" i="15"/>
  <c r="O35" i="15"/>
  <c r="N73" i="15"/>
  <c r="O89" i="15"/>
  <c r="N84" i="15"/>
  <c r="N72" i="15"/>
  <c r="N60" i="15"/>
  <c r="N36" i="15"/>
  <c r="N24" i="15"/>
  <c r="N12" i="15"/>
  <c r="O100" i="15"/>
  <c r="O88" i="15"/>
  <c r="O76" i="15"/>
  <c r="O64" i="15"/>
  <c r="O52" i="15"/>
  <c r="O40" i="15"/>
  <c r="O28" i="15"/>
  <c r="O16" i="15"/>
  <c r="O37" i="15"/>
  <c r="O47" i="15"/>
  <c r="N85" i="15"/>
  <c r="N61" i="15"/>
  <c r="N25" i="15"/>
  <c r="N13" i="15"/>
  <c r="O29" i="15"/>
  <c r="N83" i="15"/>
  <c r="N71" i="15"/>
  <c r="N59" i="15"/>
  <c r="N23" i="15"/>
  <c r="N11" i="15"/>
  <c r="O99" i="15"/>
  <c r="O87" i="15"/>
  <c r="O75" i="15"/>
  <c r="O63" i="15"/>
  <c r="O51" i="15"/>
  <c r="O39" i="15"/>
  <c r="O27" i="15"/>
  <c r="O15" i="1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7082D46-9A25-4E91-8A57-6B44771931E3}" keepAlive="1" name="Query - Cleaned_Data" description="Connection to the 'Cleaned_Data' query in the workbook." type="5" refreshedVersion="8" background="1" saveData="1">
    <dbPr connection="Provider=Microsoft.Mashup.OleDb.1;Data Source=$Workbook$;Location=Cleaned_Data;Extended Properties=&quot;&quot;" command="SELECT * FROM [Cleaned_Data]"/>
  </connection>
</connections>
</file>

<file path=xl/sharedStrings.xml><?xml version="1.0" encoding="utf-8"?>
<sst xmlns="http://schemas.openxmlformats.org/spreadsheetml/2006/main" count="2271" uniqueCount="387">
  <si>
    <t>Status</t>
  </si>
  <si>
    <t>EmpType</t>
  </si>
  <si>
    <t>Awards</t>
  </si>
  <si>
    <t>Departments</t>
  </si>
  <si>
    <t>P</t>
  </si>
  <si>
    <t>A</t>
  </si>
  <si>
    <t>L</t>
  </si>
  <si>
    <t>WFH</t>
  </si>
  <si>
    <t>WO</t>
  </si>
  <si>
    <t>H</t>
  </si>
  <si>
    <t>Full-Time</t>
  </si>
  <si>
    <t>Part-Time</t>
  </si>
  <si>
    <t>Contract</t>
  </si>
  <si>
    <t>Intern</t>
  </si>
  <si>
    <t>Y</t>
  </si>
  <si>
    <t>N</t>
  </si>
  <si>
    <t>HR</t>
  </si>
  <si>
    <t>Finance</t>
  </si>
  <si>
    <t>IT</t>
  </si>
  <si>
    <t>Operations</t>
  </si>
  <si>
    <t>EmployeeID</t>
  </si>
  <si>
    <t>Name</t>
  </si>
  <si>
    <t>Gender</t>
  </si>
  <si>
    <t>DOB</t>
  </si>
  <si>
    <t>DOJ</t>
  </si>
  <si>
    <t>Department</t>
  </si>
  <si>
    <t>JobRole</t>
  </si>
  <si>
    <t>Manager</t>
  </si>
  <si>
    <t>EmploymentType</t>
  </si>
  <si>
    <t>Grade</t>
  </si>
  <si>
    <t>EmpID</t>
  </si>
  <si>
    <t>Date</t>
  </si>
  <si>
    <t>InTime</t>
  </si>
  <si>
    <t>OutTime</t>
  </si>
  <si>
    <t>OvertimeHrs</t>
  </si>
  <si>
    <t>ReviewPeriod</t>
  </si>
  <si>
    <t>KRA1</t>
  </si>
  <si>
    <t>KRA2</t>
  </si>
  <si>
    <t>KRA3</t>
  </si>
  <si>
    <t>KRA4</t>
  </si>
  <si>
    <t>KRA5</t>
  </si>
  <si>
    <t>ManagerScore</t>
  </si>
  <si>
    <t>PeerScore</t>
  </si>
  <si>
    <t>HolidayName</t>
  </si>
  <si>
    <t>Location_Org</t>
  </si>
  <si>
    <t>EMP001</t>
  </si>
  <si>
    <t>Liam Smith</t>
  </si>
  <si>
    <t>Male</t>
  </si>
  <si>
    <t>Software Engineer</t>
  </si>
  <si>
    <t>Manish Sharma</t>
  </si>
  <si>
    <t>Grade 3</t>
  </si>
  <si>
    <t>EMP002</t>
  </si>
  <si>
    <t>Emma Smith</t>
  </si>
  <si>
    <t>Female</t>
  </si>
  <si>
    <t>HR Executive</t>
  </si>
  <si>
    <t>Anita Desai</t>
  </si>
  <si>
    <t>Grade 2</t>
  </si>
  <si>
    <t>EMP003</t>
  </si>
  <si>
    <t>Noah Smith</t>
  </si>
  <si>
    <t>Accountant</t>
  </si>
  <si>
    <t>Suresh Kumar</t>
  </si>
  <si>
    <t>EMP004</t>
  </si>
  <si>
    <t>Olivia Smith</t>
  </si>
  <si>
    <t>Operations Associate</t>
  </si>
  <si>
    <t>Meera Nair</t>
  </si>
  <si>
    <t>Grade 1</t>
  </si>
  <si>
    <t>EMP005</t>
  </si>
  <si>
    <t>Oliver Smith</t>
  </si>
  <si>
    <t>Team Lead</t>
  </si>
  <si>
    <t>Grade 4</t>
  </si>
  <si>
    <t>EMP006</t>
  </si>
  <si>
    <t>Ava Smith</t>
  </si>
  <si>
    <t>HR Manager</t>
  </si>
  <si>
    <t>EMP007</t>
  </si>
  <si>
    <t>Elijah Smith</t>
  </si>
  <si>
    <t>Financial Analyst</t>
  </si>
  <si>
    <t>EMP008</t>
  </si>
  <si>
    <t>Sophia Smith</t>
  </si>
  <si>
    <t>Operations Manager</t>
  </si>
  <si>
    <t>EMP009</t>
  </si>
  <si>
    <t>William Smith</t>
  </si>
  <si>
    <t>EMP010</t>
  </si>
  <si>
    <t>Isabella Smith</t>
  </si>
  <si>
    <t>EMP011</t>
  </si>
  <si>
    <t>Liam Johnson</t>
  </si>
  <si>
    <t>EMP012</t>
  </si>
  <si>
    <t>Emma Johnson</t>
  </si>
  <si>
    <t>EMP013</t>
  </si>
  <si>
    <t>Noah Johnson</t>
  </si>
  <si>
    <t>EMP014</t>
  </si>
  <si>
    <t>Olivia Johnson</t>
  </si>
  <si>
    <t>EMP015</t>
  </si>
  <si>
    <t>Oliver Johnson</t>
  </si>
  <si>
    <t>EMP016</t>
  </si>
  <si>
    <t>Ava Johnson</t>
  </si>
  <si>
    <t>EMP017</t>
  </si>
  <si>
    <t>Elijah Johnson</t>
  </si>
  <si>
    <t>EMP018</t>
  </si>
  <si>
    <t>Sophia Johnson</t>
  </si>
  <si>
    <t>EMP019</t>
  </si>
  <si>
    <t>William Johnson</t>
  </si>
  <si>
    <t>EMP020</t>
  </si>
  <si>
    <t>Isabella Johnson</t>
  </si>
  <si>
    <t>EMP021</t>
  </si>
  <si>
    <t>Liam Williams</t>
  </si>
  <si>
    <t>EMP022</t>
  </si>
  <si>
    <t>Emma Williams</t>
  </si>
  <si>
    <t>EMP023</t>
  </si>
  <si>
    <t>Noah Williams</t>
  </si>
  <si>
    <t>EMP024</t>
  </si>
  <si>
    <t>Olivia Williams</t>
  </si>
  <si>
    <t>EMP025</t>
  </si>
  <si>
    <t>Oliver Williams</t>
  </si>
  <si>
    <t>EMP026</t>
  </si>
  <si>
    <t>Ava Williams</t>
  </si>
  <si>
    <t>EMP027</t>
  </si>
  <si>
    <t>Elijah Williams</t>
  </si>
  <si>
    <t>EMP028</t>
  </si>
  <si>
    <t>Sophia Williams</t>
  </si>
  <si>
    <t>EMP029</t>
  </si>
  <si>
    <t>William Williams</t>
  </si>
  <si>
    <t>EMP030</t>
  </si>
  <si>
    <t>Isabella Williams</t>
  </si>
  <si>
    <t>EMP031</t>
  </si>
  <si>
    <t>Liam Brown</t>
  </si>
  <si>
    <t>EMP032</t>
  </si>
  <si>
    <t>Emma Brown</t>
  </si>
  <si>
    <t>EMP033</t>
  </si>
  <si>
    <t>Noah Brown</t>
  </si>
  <si>
    <t>EMP034</t>
  </si>
  <si>
    <t>Olivia Brown</t>
  </si>
  <si>
    <t>EMP035</t>
  </si>
  <si>
    <t>Oliver Brown</t>
  </si>
  <si>
    <t>EMP036</t>
  </si>
  <si>
    <t>Ava Brown</t>
  </si>
  <si>
    <t>EMP037</t>
  </si>
  <si>
    <t>Elijah Brown</t>
  </si>
  <si>
    <t>EMP038</t>
  </si>
  <si>
    <t>Sophia Brown</t>
  </si>
  <si>
    <t>EMP039</t>
  </si>
  <si>
    <t>William Brown</t>
  </si>
  <si>
    <t>EMP040</t>
  </si>
  <si>
    <t>Isabella Brown</t>
  </si>
  <si>
    <t>EMP041</t>
  </si>
  <si>
    <t>Liam Jones</t>
  </si>
  <si>
    <t>EMP042</t>
  </si>
  <si>
    <t>Emma Jones</t>
  </si>
  <si>
    <t>EMP043</t>
  </si>
  <si>
    <t>Noah Jones</t>
  </si>
  <si>
    <t>EMP044</t>
  </si>
  <si>
    <t>Olivia Jones</t>
  </si>
  <si>
    <t>EMP045</t>
  </si>
  <si>
    <t>Oliver Jones</t>
  </si>
  <si>
    <t>EMP046</t>
  </si>
  <si>
    <t>Ava Jones</t>
  </si>
  <si>
    <t>EMP047</t>
  </si>
  <si>
    <t>Elijah Jones</t>
  </si>
  <si>
    <t>EMP048</t>
  </si>
  <si>
    <t>Sophia Jones</t>
  </si>
  <si>
    <t>EMP049</t>
  </si>
  <si>
    <t>William Jones</t>
  </si>
  <si>
    <t>EMP050</t>
  </si>
  <si>
    <t>Isabella Jones</t>
  </si>
  <si>
    <t>EMP051</t>
  </si>
  <si>
    <t>Liam Garcia</t>
  </si>
  <si>
    <t>EMP052</t>
  </si>
  <si>
    <t>Emma Garcia</t>
  </si>
  <si>
    <t>EMP053</t>
  </si>
  <si>
    <t>Noah Garcia</t>
  </si>
  <si>
    <t>EMP054</t>
  </si>
  <si>
    <t>Olivia Garcia</t>
  </si>
  <si>
    <t>EMP055</t>
  </si>
  <si>
    <t>Oliver Garcia</t>
  </si>
  <si>
    <t>EMP056</t>
  </si>
  <si>
    <t>Ava Garcia</t>
  </si>
  <si>
    <t>EMP057</t>
  </si>
  <si>
    <t>Elijah Garcia</t>
  </si>
  <si>
    <t>EMP058</t>
  </si>
  <si>
    <t>Sophia Garcia</t>
  </si>
  <si>
    <t>EMP059</t>
  </si>
  <si>
    <t>William Garcia</t>
  </si>
  <si>
    <t>EMP060</t>
  </si>
  <si>
    <t>Isabella Garcia</t>
  </si>
  <si>
    <t>EMP061</t>
  </si>
  <si>
    <t>Liam Miller</t>
  </si>
  <si>
    <t>EMP062</t>
  </si>
  <si>
    <t>Emma Miller</t>
  </si>
  <si>
    <t>EMP063</t>
  </si>
  <si>
    <t>Noah Miller</t>
  </si>
  <si>
    <t>EMP064</t>
  </si>
  <si>
    <t>Olivia Miller</t>
  </si>
  <si>
    <t>EMP065</t>
  </si>
  <si>
    <t>Oliver Miller</t>
  </si>
  <si>
    <t>EMP066</t>
  </si>
  <si>
    <t>Ava Miller</t>
  </si>
  <si>
    <t>EMP067</t>
  </si>
  <si>
    <t>Elijah Miller</t>
  </si>
  <si>
    <t>EMP068</t>
  </si>
  <si>
    <t>Sophia Miller</t>
  </si>
  <si>
    <t>EMP069</t>
  </si>
  <si>
    <t>William Miller</t>
  </si>
  <si>
    <t>EMP070</t>
  </si>
  <si>
    <t>Isabella Miller</t>
  </si>
  <si>
    <t>EMP071</t>
  </si>
  <si>
    <t>Liam Davis</t>
  </si>
  <si>
    <t>EMP072</t>
  </si>
  <si>
    <t>Emma Davis</t>
  </si>
  <si>
    <t>EMP073</t>
  </si>
  <si>
    <t>Noah Davis</t>
  </si>
  <si>
    <t>EMP074</t>
  </si>
  <si>
    <t>Olivia Davis</t>
  </si>
  <si>
    <t>EMP075</t>
  </si>
  <si>
    <t>Oliver Davis</t>
  </si>
  <si>
    <t>EMP076</t>
  </si>
  <si>
    <t>Ava Davis</t>
  </si>
  <si>
    <t>EMP077</t>
  </si>
  <si>
    <t>Elijah Davis</t>
  </si>
  <si>
    <t>EMP078</t>
  </si>
  <si>
    <t>Sophia Davis</t>
  </si>
  <si>
    <t>EMP079</t>
  </si>
  <si>
    <t>William Davis</t>
  </si>
  <si>
    <t>EMP080</t>
  </si>
  <si>
    <t>Isabella Davis</t>
  </si>
  <si>
    <t>EMP081</t>
  </si>
  <si>
    <t>Liam Rodriguez</t>
  </si>
  <si>
    <t>EMP082</t>
  </si>
  <si>
    <t>Emma Rodriguez</t>
  </si>
  <si>
    <t>EMP083</t>
  </si>
  <si>
    <t>Noah Rodriguez</t>
  </si>
  <si>
    <t>EMP084</t>
  </si>
  <si>
    <t>Olivia Rodriguez</t>
  </si>
  <si>
    <t>EMP085</t>
  </si>
  <si>
    <t>Oliver Rodriguez</t>
  </si>
  <si>
    <t>EMP086</t>
  </si>
  <si>
    <t>Ava Rodriguez</t>
  </si>
  <si>
    <t>EMP087</t>
  </si>
  <si>
    <t>Elijah Rodriguez</t>
  </si>
  <si>
    <t>EMP088</t>
  </si>
  <si>
    <t>Sophia Rodriguez</t>
  </si>
  <si>
    <t>EMP089</t>
  </si>
  <si>
    <t>William Rodriguez</t>
  </si>
  <si>
    <t>EMP090</t>
  </si>
  <si>
    <t>Isabella Rodriguez</t>
  </si>
  <si>
    <t>EMP091</t>
  </si>
  <si>
    <t>Liam Martinez</t>
  </si>
  <si>
    <t>EMP092</t>
  </si>
  <si>
    <t>Emma Martinez</t>
  </si>
  <si>
    <t>EMP093</t>
  </si>
  <si>
    <t>Noah Martinez</t>
  </si>
  <si>
    <t>EMP094</t>
  </si>
  <si>
    <t>Olivia Martinez</t>
  </si>
  <si>
    <t>EMP095</t>
  </si>
  <si>
    <t>Oliver Martinez</t>
  </si>
  <si>
    <t>EMP096</t>
  </si>
  <si>
    <t>Ava Martinez</t>
  </si>
  <si>
    <t>EMP097</t>
  </si>
  <si>
    <t>Elijah Martinez</t>
  </si>
  <si>
    <t>EMP098</t>
  </si>
  <si>
    <t>Sophia Martinez</t>
  </si>
  <si>
    <t>EMP099</t>
  </si>
  <si>
    <t>William Martinez</t>
  </si>
  <si>
    <t>EMP100</t>
  </si>
  <si>
    <t>Isabella Martinez</t>
  </si>
  <si>
    <t>2026-Q1</t>
  </si>
  <si>
    <t>New Year</t>
  </si>
  <si>
    <t>Republic Day</t>
  </si>
  <si>
    <t>Holi</t>
  </si>
  <si>
    <t>Independence Day</t>
  </si>
  <si>
    <t>Gandhi Jayanti</t>
  </si>
  <si>
    <t>Diwali</t>
  </si>
  <si>
    <t>Christmas</t>
  </si>
  <si>
    <t>India</t>
  </si>
  <si>
    <t>ShiftID</t>
  </si>
  <si>
    <t>ShiftName</t>
  </si>
  <si>
    <t>StartTime</t>
  </si>
  <si>
    <t>EndTime</t>
  </si>
  <si>
    <t>S1</t>
  </si>
  <si>
    <t>Morning</t>
  </si>
  <si>
    <t>S2</t>
  </si>
  <si>
    <t>Afternoon</t>
  </si>
  <si>
    <t>S3</t>
  </si>
  <si>
    <t>Night</t>
  </si>
  <si>
    <t>Employee ID</t>
  </si>
  <si>
    <t>Employee Name</t>
  </si>
  <si>
    <t>Job Role</t>
  </si>
  <si>
    <t>Location</t>
  </si>
  <si>
    <t>Month</t>
  </si>
  <si>
    <t>Attendance Status</t>
  </si>
  <si>
    <t>Working Hours</t>
  </si>
  <si>
    <t>Overtime Hours</t>
  </si>
  <si>
    <t>Tasks Completed</t>
  </si>
  <si>
    <t>Performance Score</t>
  </si>
  <si>
    <t>Target Tasks</t>
  </si>
  <si>
    <t>Achievement %</t>
  </si>
  <si>
    <t>Salary</t>
  </si>
  <si>
    <t>Bonus Eligibility</t>
  </si>
  <si>
    <t>Manager Rating</t>
  </si>
  <si>
    <t>Remarks</t>
  </si>
  <si>
    <t>Rahul Nair</t>
  </si>
  <si>
    <t>Sales</t>
  </si>
  <si>
    <t>Sales Executive</t>
  </si>
  <si>
    <t>Mumbai</t>
  </si>
  <si>
    <t>Present</t>
  </si>
  <si>
    <t>Yes</t>
  </si>
  <si>
    <t>Strong team player</t>
  </si>
  <si>
    <t>Work From Home</t>
  </si>
  <si>
    <t>No</t>
  </si>
  <si>
    <t>Excellent work ethic</t>
  </si>
  <si>
    <t>Krishna Patel</t>
  </si>
  <si>
    <t>Sales Manager</t>
  </si>
  <si>
    <t>Absent</t>
  </si>
  <si>
    <t>On track with targets</t>
  </si>
  <si>
    <t>Needs improvement</t>
  </si>
  <si>
    <t>Sandeep Desai</t>
  </si>
  <si>
    <t>Business Development Associate</t>
  </si>
  <si>
    <t>Frequent late coming</t>
  </si>
  <si>
    <t>Vivaan Sharma</t>
  </si>
  <si>
    <t>Leave</t>
  </si>
  <si>
    <t>Consistent performer</t>
  </si>
  <si>
    <t>Riya Agarwal</t>
  </si>
  <si>
    <t>Good performance</t>
  </si>
  <si>
    <t>Requires coaching</t>
  </si>
  <si>
    <t>Reyansh Desai</t>
  </si>
  <si>
    <t>Pune</t>
  </si>
  <si>
    <t>Anika Mehta</t>
  </si>
  <si>
    <t>System Analyst</t>
  </si>
  <si>
    <t>Ananya Mehta</t>
  </si>
  <si>
    <t>IT Support Engineer</t>
  </si>
  <si>
    <t>Bangalore</t>
  </si>
  <si>
    <t>Vihaan Iyer</t>
  </si>
  <si>
    <t>Sneha Rao</t>
  </si>
  <si>
    <t>Chennai</t>
  </si>
  <si>
    <t>Sandeep Malhotra</t>
  </si>
  <si>
    <t>Aditya Desai</t>
  </si>
  <si>
    <t>Delhi</t>
  </si>
  <si>
    <t>Ishita Rao</t>
  </si>
  <si>
    <t>Talent Acquisition Specialist</t>
  </si>
  <si>
    <t>Vivaan Singh</t>
  </si>
  <si>
    <t>Sneha Nair</t>
  </si>
  <si>
    <t>Aadhya Rao</t>
  </si>
  <si>
    <t>Reyansh Mehta</t>
  </si>
  <si>
    <t>Myra Singh</t>
  </si>
  <si>
    <t>Finance Manager</t>
  </si>
  <si>
    <t>Priya Mehta</t>
  </si>
  <si>
    <t>Pooja Verma</t>
  </si>
  <si>
    <t>Aditya Reddy</t>
  </si>
  <si>
    <t>Operations Executive</t>
  </si>
  <si>
    <t>Reyansh Bose</t>
  </si>
  <si>
    <t>Aadhya Patel</t>
  </si>
  <si>
    <t>Process Associate</t>
  </si>
  <si>
    <t>Myra Mehta</t>
  </si>
  <si>
    <t>Diya Singh</t>
  </si>
  <si>
    <t>Row Labels</t>
  </si>
  <si>
    <t>Grand Total</t>
  </si>
  <si>
    <t>Total Employees</t>
  </si>
  <si>
    <t>Count of Attendance Status</t>
  </si>
  <si>
    <t>Sum of Tasks Completed</t>
  </si>
  <si>
    <t>Sum of Target Tasks</t>
  </si>
  <si>
    <t>Average of Performance Score</t>
  </si>
  <si>
    <t>HEADCOUNT</t>
  </si>
  <si>
    <t>AVG ATTENDANCE % (SELECTED MONTH)</t>
  </si>
  <si>
    <t>AVG PERFORMANCE SCORE</t>
  </si>
  <si>
    <t>HIGH RISK EMPLOYEES</t>
  </si>
  <si>
    <t>HIGH PERFORMERS (Score &gt;= 4)</t>
  </si>
  <si>
    <t>LOW PERFORMERS (Score &lt; 3)</t>
  </si>
  <si>
    <t>AVG OVERTIME HRS / EMPLOYEE</t>
  </si>
  <si>
    <t>TOTAL ABSENCES (SELECTED MONTH)</t>
  </si>
  <si>
    <t>Attendance %</t>
  </si>
  <si>
    <t>Attendance%</t>
  </si>
  <si>
    <t>PresentDays</t>
  </si>
  <si>
    <t>AbsentDays</t>
  </si>
  <si>
    <t>LateMins</t>
  </si>
  <si>
    <t>OTHours</t>
  </si>
  <si>
    <t>PerfScore</t>
  </si>
  <si>
    <t>AttendanceFlag</t>
  </si>
  <si>
    <t>PerfFlag</t>
  </si>
  <si>
    <t>RiskTag</t>
  </si>
  <si>
    <t>KRA Avg</t>
  </si>
  <si>
    <t>LOW</t>
  </si>
  <si>
    <t>OK</t>
  </si>
  <si>
    <t>Count of EmployeeID</t>
  </si>
  <si>
    <t>Attendance Risk</t>
  </si>
  <si>
    <t>High Risk</t>
  </si>
  <si>
    <t>Performance Risk</t>
  </si>
  <si>
    <t>Average of Overtime Hours</t>
  </si>
  <si>
    <t>Average of Attendance%</t>
  </si>
  <si>
    <t>HR ANALYTICS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</si>
</sst>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4009]yyyy/mm/dd;@"/>
    <numFmt numFmtId="165" formatCode="0.0"/>
  </numFmts>
  <fonts count="13" x14ac:knownFonts="1">
    <font>
      <sz val="11"/>
      <color theme="1"/>
      <name val="Calibri"/>
      <family val="2"/>
      <scheme val="minor"/>
    </font>
    <font>
      <sz val="11"/>
      <color rgb="FF1F1F1F"/>
      <name val="Arial"/>
      <family val="2"/>
    </font>
    <font>
      <sz val="11"/>
      <color theme="1"/>
      <name val="Calibri"/>
      <family val="2"/>
      <scheme val="minor"/>
    </font>
    <font>
      <b/>
      <sz val="9"/>
      <color rgb="FFFFFFFF"/>
      <name val="Arial"/>
      <charset val="1"/>
    </font>
    <font>
      <b/>
      <sz val="8"/>
      <color rgb="FFFFFFFF"/>
      <name val="Arial"/>
      <charset val="1"/>
    </font>
    <font>
      <b/>
      <sz val="11"/>
      <color rgb="FFFFFFFF"/>
      <name val="Arial"/>
      <charset val="1"/>
    </font>
    <font>
      <b/>
      <sz val="10"/>
      <name val="Arial"/>
      <charset val="1"/>
    </font>
    <font>
      <sz val="8"/>
      <name val="Calibri"/>
      <family val="2"/>
      <scheme val="minor"/>
    </font>
    <font>
      <b/>
      <sz val="24"/>
      <color rgb="FF1F4E78"/>
      <name val="Arial"/>
      <family val="2"/>
    </font>
    <font>
      <b/>
      <sz val="24"/>
      <color rgb="FF2E75B6"/>
      <name val="Arial"/>
      <family val="2"/>
    </font>
    <font>
      <b/>
      <sz val="24"/>
      <color rgb="FFC00000"/>
      <name val="Arial"/>
      <family val="2"/>
    </font>
    <font>
      <b/>
      <sz val="24"/>
      <color rgb="FF2E7D32"/>
      <name val="Arial"/>
      <family val="2"/>
    </font>
    <font>
      <sz val="26"/>
      <color theme="1"/>
      <name val="Calibri"/>
      <family val="2"/>
      <scheme val="minor"/>
    </font>
  </fonts>
  <fills count="11">
    <fill>
      <patternFill patternType="none"/>
    </fill>
    <fill>
      <patternFill patternType="gray125"/>
    </fill>
    <fill>
      <patternFill patternType="solid">
        <fgColor theme="4"/>
        <bgColor indexed="64"/>
      </patternFill>
    </fill>
    <fill>
      <patternFill patternType="solid">
        <fgColor theme="4" tint="0.79998168889431442"/>
        <bgColor indexed="64"/>
      </patternFill>
    </fill>
    <fill>
      <patternFill patternType="solid">
        <fgColor rgb="FF1F4E78"/>
        <bgColor rgb="FF003366"/>
      </patternFill>
    </fill>
    <fill>
      <patternFill patternType="solid">
        <fgColor rgb="FF2E75B6"/>
        <bgColor rgb="FF4F81BD"/>
      </patternFill>
    </fill>
    <fill>
      <patternFill patternType="solid">
        <fgColor rgb="FFC00000"/>
        <bgColor rgb="FF9C0006"/>
      </patternFill>
    </fill>
    <fill>
      <patternFill patternType="solid">
        <fgColor rgb="FFD9E8F5"/>
        <bgColor rgb="FFD9D9D9"/>
      </patternFill>
    </fill>
    <fill>
      <patternFill patternType="solid">
        <fgColor rgb="FFFCE4E4"/>
        <bgColor rgb="FFF9F9F9"/>
      </patternFill>
    </fill>
    <fill>
      <patternFill patternType="solid">
        <fgColor rgb="FF2E7D32"/>
        <bgColor rgb="FF008080"/>
      </patternFill>
    </fill>
    <fill>
      <patternFill patternType="solid">
        <fgColor theme="4" tint="0.59999389629810485"/>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rgb="FFBFBFBF"/>
      </left>
      <right style="thin">
        <color rgb="FFBFBFBF"/>
      </right>
      <top style="thin">
        <color rgb="FFBFBFBF"/>
      </top>
      <bottom style="thin">
        <color rgb="FFBFBFBF"/>
      </bottom>
      <diagonal/>
    </border>
    <border>
      <left style="thin">
        <color indexed="64"/>
      </left>
      <right/>
      <top style="thin">
        <color indexed="64"/>
      </top>
      <bottom style="thin">
        <color indexed="64"/>
      </bottom>
      <diagonal/>
    </border>
  </borders>
  <cellStyleXfs count="2">
    <xf numFmtId="0" fontId="0" fillId="0" borderId="0"/>
    <xf numFmtId="9" fontId="2" fillId="0" borderId="0" applyFont="0" applyFill="0" applyBorder="0" applyAlignment="0" applyProtection="0"/>
  </cellStyleXfs>
  <cellXfs count="40">
    <xf numFmtId="0" fontId="0" fillId="0" borderId="0" xfId="0"/>
    <xf numFmtId="15" fontId="0" fillId="0" borderId="0" xfId="0" applyNumberFormat="1"/>
    <xf numFmtId="0" fontId="1" fillId="0" borderId="0" xfId="0" applyFont="1" applyAlignment="1">
      <alignment vertical="center" readingOrder="1"/>
    </xf>
    <xf numFmtId="20" fontId="0" fillId="0" borderId="0" xfId="0" applyNumberFormat="1"/>
    <xf numFmtId="164" fontId="1" fillId="0" borderId="0" xfId="0" applyNumberFormat="1" applyFont="1" applyAlignment="1">
      <alignment vertical="center" readingOrder="1"/>
    </xf>
    <xf numFmtId="164" fontId="0" fillId="0" borderId="0" xfId="0" applyNumberFormat="1"/>
    <xf numFmtId="0" fontId="0" fillId="0" borderId="1" xfId="0" applyBorder="1"/>
    <xf numFmtId="0" fontId="0" fillId="2" borderId="1" xfId="0" applyFill="1" applyBorder="1"/>
    <xf numFmtId="14" fontId="0" fillId="3" borderId="1" xfId="0" applyNumberFormat="1" applyFill="1" applyBorder="1"/>
    <xf numFmtId="0" fontId="0" fillId="3" borderId="1" xfId="0" applyFill="1" applyBorder="1"/>
    <xf numFmtId="20" fontId="0" fillId="3" borderId="1" xfId="0" applyNumberFormat="1" applyFill="1" applyBorder="1"/>
    <xf numFmtId="14" fontId="0" fillId="0" borderId="1" xfId="0" applyNumberFormat="1" applyBorder="1"/>
    <xf numFmtId="20" fontId="0" fillId="0" borderId="1" xfId="0" applyNumberFormat="1" applyBorder="1"/>
    <xf numFmtId="14" fontId="0" fillId="0" borderId="0" xfId="0" applyNumberFormat="1"/>
    <xf numFmtId="9" fontId="0" fillId="0" borderId="0" xfId="1" applyFont="1"/>
    <xf numFmtId="0" fontId="0" fillId="0" borderId="0" xfId="0" pivotButton="1"/>
    <xf numFmtId="0" fontId="0" fillId="0" borderId="0" xfId="0" applyAlignment="1">
      <alignment horizontal="left"/>
    </xf>
    <xf numFmtId="14" fontId="0" fillId="0" borderId="0" xfId="0" applyNumberFormat="1" applyAlignment="1">
      <alignment horizontal="left"/>
    </xf>
    <xf numFmtId="0" fontId="5" fillId="4" borderId="2" xfId="0" applyFont="1" applyFill="1" applyBorder="1" applyAlignment="1">
      <alignment horizontal="center" vertical="center" wrapText="1"/>
    </xf>
    <xf numFmtId="0" fontId="6" fillId="0" borderId="0" xfId="0" applyFont="1" applyAlignment="1">
      <alignment wrapText="1"/>
    </xf>
    <xf numFmtId="0" fontId="0" fillId="2" borderId="3" xfId="0" applyFill="1" applyBorder="1"/>
    <xf numFmtId="0" fontId="0" fillId="3" borderId="3" xfId="0" applyFill="1" applyBorder="1"/>
    <xf numFmtId="0" fontId="0" fillId="0" borderId="3" xfId="0" applyBorder="1"/>
    <xf numFmtId="9" fontId="5" fillId="4" borderId="2" xfId="1" applyFont="1" applyFill="1" applyBorder="1" applyAlignment="1">
      <alignment horizontal="center" vertical="center" wrapText="1"/>
    </xf>
    <xf numFmtId="9" fontId="0" fillId="0" borderId="0" xfId="0" applyNumberFormat="1"/>
    <xf numFmtId="17" fontId="0" fillId="0" borderId="0" xfId="0" applyNumberFormat="1" applyAlignment="1">
      <alignment horizontal="left"/>
    </xf>
    <xf numFmtId="0" fontId="12" fillId="10" borderId="0" xfId="0" applyFont="1" applyFill="1" applyAlignment="1">
      <alignment horizontal="center"/>
    </xf>
    <xf numFmtId="1" fontId="10" fillId="8" borderId="0" xfId="0" applyNumberFormat="1" applyFont="1" applyFill="1" applyAlignment="1">
      <alignment horizontal="center" vertical="center"/>
    </xf>
    <xf numFmtId="0" fontId="3" fillId="5" borderId="0" xfId="0" applyFont="1" applyFill="1" applyAlignment="1">
      <alignment horizontal="center" vertical="center" wrapText="1"/>
    </xf>
    <xf numFmtId="0" fontId="3" fillId="6" borderId="0" xfId="0" applyFont="1" applyFill="1" applyAlignment="1">
      <alignment horizontal="center" vertical="center" wrapText="1"/>
    </xf>
    <xf numFmtId="1" fontId="8" fillId="7" borderId="0" xfId="0" applyNumberFormat="1" applyFont="1" applyFill="1" applyAlignment="1">
      <alignment horizontal="center" vertical="center"/>
    </xf>
    <xf numFmtId="9" fontId="9" fillId="7" borderId="0" xfId="1" applyFont="1" applyFill="1" applyAlignment="1">
      <alignment horizontal="center" vertical="center"/>
    </xf>
    <xf numFmtId="0" fontId="3" fillId="4" borderId="0" xfId="0" applyFont="1" applyFill="1" applyAlignment="1">
      <alignment horizontal="center" vertical="center" wrapText="1"/>
    </xf>
    <xf numFmtId="2" fontId="9" fillId="7" borderId="0" xfId="0" applyNumberFormat="1" applyFont="1" applyFill="1" applyAlignment="1">
      <alignment horizontal="center" vertical="center"/>
    </xf>
    <xf numFmtId="0" fontId="4" fillId="9" borderId="0" xfId="0" applyFont="1" applyFill="1" applyAlignment="1">
      <alignment horizontal="center" vertical="center" wrapText="1"/>
    </xf>
    <xf numFmtId="0" fontId="4" fillId="6" borderId="0" xfId="0" applyFont="1" applyFill="1" applyAlignment="1">
      <alignment horizontal="center" vertical="center" wrapText="1"/>
    </xf>
    <xf numFmtId="0" fontId="4" fillId="5" borderId="0" xfId="0" applyFont="1" applyFill="1" applyAlignment="1">
      <alignment horizontal="center" vertical="center" wrapText="1"/>
    </xf>
    <xf numFmtId="0" fontId="4" fillId="4" borderId="0" xfId="0" applyFont="1" applyFill="1" applyAlignment="1">
      <alignment horizontal="center" vertical="center" wrapText="1"/>
    </xf>
    <xf numFmtId="1" fontId="11" fillId="7" borderId="0" xfId="0" applyNumberFormat="1" applyFont="1" applyFill="1" applyAlignment="1">
      <alignment horizontal="center" vertical="center"/>
    </xf>
    <xf numFmtId="165" fontId="9" fillId="7" borderId="0" xfId="0" applyNumberFormat="1" applyFont="1" applyFill="1" applyAlignment="1">
      <alignment horizontal="center" vertical="center"/>
    </xf>
  </cellXfs>
  <cellStyles count="2">
    <cellStyle name="Normal" xfId="0" builtinId="0"/>
    <cellStyle name="Percent" xfId="1" builtinId="5"/>
  </cellStyles>
  <dxfs count="22">
    <dxf>
      <numFmt numFmtId="22" formatCode="mmm/yy"/>
    </dxf>
    <dxf>
      <numFmt numFmtId="13" formatCode="0%"/>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25" formatCode="hh:mm"/>
    </dxf>
    <dxf>
      <font>
        <b val="0"/>
        <i val="0"/>
        <strike val="0"/>
        <condense val="0"/>
        <extend val="0"/>
        <outline val="0"/>
        <shadow val="0"/>
        <u val="none"/>
        <vertAlign val="baseline"/>
        <sz val="11"/>
        <color rgb="FF1F1F1F"/>
        <name val="Arial"/>
        <family val="2"/>
        <scheme val="none"/>
      </font>
      <numFmt numFmtId="164" formatCode="[$-14009]yyyy/mm/dd;@"/>
      <alignment horizontal="general" vertical="center" textRotation="0" wrapText="0" indent="0" justifyLastLine="0" shrinkToFit="0" readingOrder="1"/>
    </dxf>
    <dxf>
      <numFmt numFmtId="0" formatCode="General"/>
    </dxf>
    <dxf>
      <numFmt numFmtId="0" formatCode="General"/>
    </dxf>
    <dxf>
      <fill>
        <patternFill>
          <fgColor indexed="64"/>
          <bgColor theme="4" tint="0.59999389629810485"/>
        </patternFill>
      </fill>
      <border diagonalUp="0" diagonalDown="0">
        <left style="thin">
          <color indexed="64"/>
        </left>
        <right/>
        <top style="thin">
          <color indexed="64"/>
        </top>
        <bottom style="thin">
          <color indexed="64"/>
        </bottom>
        <vertical/>
        <horizontal/>
      </border>
    </dxf>
    <dxf>
      <border outline="0">
        <right style="thin">
          <color indexed="64"/>
        </right>
      </border>
    </dxf>
    <dxf>
      <numFmt numFmtId="19" formatCode="dd/mm/yyyy"/>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4"/>
        </patternFill>
      </fill>
    </dxf>
    <dxf>
      <numFmt numFmtId="20" formatCode="dd/mmm/yy"/>
    </dxf>
    <dxf>
      <numFmt numFmtId="20" formatCode="dd/m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[HR_Analytics_Dashboard.xlsx]Pivot table!PivotTable3</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Employees by Department</a:t>
            </a:r>
          </a:p>
        </c:rich>
      </c:tx>
      <c:layout>
        <c:manualLayout>
          <c:xMode val="edge"/>
          <c:yMode val="edge"/>
          <c:x val="0.29763866007688083"/>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table'!$A$2:$A$7</c:f>
              <c:strCache>
                <c:ptCount val="5"/>
                <c:pt idx="0">
                  <c:v>Finance</c:v>
                </c:pt>
                <c:pt idx="1">
                  <c:v>HR</c:v>
                </c:pt>
                <c:pt idx="2">
                  <c:v>IT</c:v>
                </c:pt>
                <c:pt idx="3">
                  <c:v>Operations</c:v>
                </c:pt>
                <c:pt idx="4">
                  <c:v>Sales</c:v>
                </c:pt>
              </c:strCache>
            </c:strRef>
          </c:cat>
          <c:val>
            <c:numRef>
              <c:f>'Pivot table'!$B$2:$B$7</c:f>
              <c:numCache>
                <c:formatCode>General</c:formatCode>
                <c:ptCount val="5"/>
                <c:pt idx="0">
                  <c:v>20</c:v>
                </c:pt>
                <c:pt idx="1">
                  <c:v>20</c:v>
                </c:pt>
                <c:pt idx="2">
                  <c:v>20</c:v>
                </c:pt>
                <c:pt idx="3">
                  <c:v>20</c:v>
                </c:pt>
                <c:pt idx="4">
                  <c:v>20</c:v>
                </c:pt>
              </c:numCache>
            </c:numRef>
          </c:val>
          <c:extLst>
            <c:ext xmlns:c16="http://schemas.microsoft.com/office/drawing/2014/chart" uri="{C3380CC4-5D6E-409C-BE32-E72D297353CC}">
              <c16:uniqueId val="{00000000-5E2D-4927-A6DC-0B94ECD18A33}"/>
            </c:ext>
          </c:extLst>
        </c:ser>
        <c:dLbls>
          <c:dLblPos val="outEnd"/>
          <c:showLegendKey val="0"/>
          <c:showVal val="1"/>
          <c:showCatName val="0"/>
          <c:showSerName val="0"/>
          <c:showPercent val="0"/>
          <c:showBubbleSize val="0"/>
        </c:dLbls>
        <c:gapWidth val="50"/>
        <c:overlap val="-27"/>
        <c:axId val="104740000"/>
        <c:axId val="1942935215"/>
      </c:barChart>
      <c:catAx>
        <c:axId val="104740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2935215"/>
        <c:crosses val="autoZero"/>
        <c:auto val="1"/>
        <c:lblAlgn val="ctr"/>
        <c:lblOffset val="100"/>
        <c:noMultiLvlLbl val="0"/>
      </c:catAx>
      <c:valAx>
        <c:axId val="19429352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740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[HR_Analytics_Dashboard.xlsx]Pivot table!PivotTable4</c:name>
    <c:fmtId val="10"/>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IN"/>
              <a:t>Average Performance by Department</a:t>
            </a:r>
            <a:endParaRPr lang="en-US"/>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table'!$B$12</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table'!$A$13:$A$18</c:f>
              <c:strCache>
                <c:ptCount val="5"/>
                <c:pt idx="0">
                  <c:v>Finance</c:v>
                </c:pt>
                <c:pt idx="1">
                  <c:v>HR</c:v>
                </c:pt>
                <c:pt idx="2">
                  <c:v>IT</c:v>
                </c:pt>
                <c:pt idx="3">
                  <c:v>Operations</c:v>
                </c:pt>
                <c:pt idx="4">
                  <c:v>Sales</c:v>
                </c:pt>
              </c:strCache>
            </c:strRef>
          </c:cat>
          <c:val>
            <c:numRef>
              <c:f>'Pivot table'!$B$13:$B$18</c:f>
              <c:numCache>
                <c:formatCode>General</c:formatCode>
                <c:ptCount val="5"/>
                <c:pt idx="0">
                  <c:v>7.9</c:v>
                </c:pt>
                <c:pt idx="1">
                  <c:v>6.9</c:v>
                </c:pt>
                <c:pt idx="2">
                  <c:v>6.8</c:v>
                </c:pt>
                <c:pt idx="3">
                  <c:v>5.85</c:v>
                </c:pt>
                <c:pt idx="4">
                  <c:v>6.45</c:v>
                </c:pt>
              </c:numCache>
            </c:numRef>
          </c:val>
          <c:extLst>
            <c:ext xmlns:c16="http://schemas.microsoft.com/office/drawing/2014/chart" uri="{C3380CC4-5D6E-409C-BE32-E72D297353CC}">
              <c16:uniqueId val="{00000000-C06D-44E3-B580-48C40E063D1F}"/>
            </c:ext>
          </c:extLst>
        </c:ser>
        <c:dLbls>
          <c:dLblPos val="inEnd"/>
          <c:showLegendKey val="0"/>
          <c:showVal val="1"/>
          <c:showCatName val="0"/>
          <c:showSerName val="0"/>
          <c:showPercent val="0"/>
          <c:showBubbleSize val="0"/>
        </c:dLbls>
        <c:gapWidth val="41"/>
        <c:axId val="1150399872"/>
        <c:axId val="2105104560"/>
      </c:barChart>
      <c:catAx>
        <c:axId val="115039987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IN"/>
                  <a:t>Department</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2105104560"/>
        <c:crosses val="autoZero"/>
        <c:auto val="1"/>
        <c:lblAlgn val="ctr"/>
        <c:lblOffset val="100"/>
        <c:noMultiLvlLbl val="0"/>
      </c:catAx>
      <c:valAx>
        <c:axId val="2105104560"/>
        <c:scaling>
          <c:orientation val="minMax"/>
        </c:scaling>
        <c:delete val="1"/>
        <c:axPos val="l"/>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IN"/>
                  <a:t>Performance Score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150399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[HR_Analytics_Dashboard.xlsx]Pivot table!PivotTable5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Attendance Status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799FBD5-44F5-45E4-8349-CB2A444B19CC}" type="VALUE">
                  <a:rPr lang="en-US"/>
                  <a:pPr>
                    <a:defRPr/>
                  </a:pPr>
                  <a:t>[VALUE]</a:t>
                </a:fld>
                <a:r>
                  <a:rPr lang="en-US"/>
                  <a:t>%</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CBC1103-E7B8-4F6D-8F8B-3EED87925301}" type="VALUE">
                  <a:rPr lang="en-US"/>
                  <a:pPr>
                    <a:defRPr/>
                  </a:pPr>
                  <a:t>[VALUE]</a:t>
                </a:fld>
                <a:r>
                  <a:rPr lang="en-US"/>
                  <a:t>%</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9"/>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636318A-A37A-4C02-A723-5B28D5C6072D}" type="VALUE">
                  <a:rPr lang="en-US"/>
                  <a:pPr>
                    <a:defRPr/>
                  </a:pPr>
                  <a:t>[VALUE]</a:t>
                </a:fld>
                <a:r>
                  <a:rPr lang="en-US"/>
                  <a:t>%</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0C5947A-0295-4F7D-828A-2E8BD37B1394}" type="VALUE">
                  <a:rPr lang="en-US"/>
                  <a:pPr>
                    <a:defRPr/>
                  </a:pPr>
                  <a:t>[VALUE]</a:t>
                </a:fld>
                <a:r>
                  <a:rPr lang="en-US"/>
                  <a:t>%</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doughnutChart>
        <c:varyColors val="1"/>
        <c:ser>
          <c:idx val="0"/>
          <c:order val="0"/>
          <c:tx>
            <c:strRef>
              <c:f>'Pivot table'!$B$23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23B-45BE-A8A6-EA757CBB6A0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23B-45BE-A8A6-EA757CBB6A0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23B-45BE-A8A6-EA757CBB6A0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23B-45BE-A8A6-EA757CBB6A01}"/>
              </c:ext>
            </c:extLst>
          </c:dPt>
          <c:dLbls>
            <c:dLbl>
              <c:idx val="0"/>
              <c:tx>
                <c:rich>
                  <a:bodyPr/>
                  <a:lstStyle/>
                  <a:p>
                    <a:fld id="{2799FBD5-44F5-45E4-8349-CB2A444B19CC}" type="VALUE">
                      <a:rPr lang="en-US"/>
                      <a:pPr/>
                      <a:t>[VALUE]</a:t>
                    </a:fld>
                    <a:r>
                      <a:rPr lang="en-US"/>
                      <a:t>%</a:t>
                    </a:r>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923B-45BE-A8A6-EA757CBB6A01}"/>
                </c:ext>
              </c:extLst>
            </c:dLbl>
            <c:dLbl>
              <c:idx val="1"/>
              <c:tx>
                <c:rich>
                  <a:bodyPr/>
                  <a:lstStyle/>
                  <a:p>
                    <a:fld id="{0CBC1103-E7B8-4F6D-8F8B-3EED87925301}" type="VALUE">
                      <a:rPr lang="en-US"/>
                      <a:pPr/>
                      <a:t>[VALUE]</a:t>
                    </a:fld>
                    <a:r>
                      <a:rPr lang="en-US"/>
                      <a:t>%</a:t>
                    </a:r>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923B-45BE-A8A6-EA757CBB6A01}"/>
                </c:ext>
              </c:extLst>
            </c:dLbl>
            <c:dLbl>
              <c:idx val="2"/>
              <c:tx>
                <c:rich>
                  <a:bodyPr/>
                  <a:lstStyle/>
                  <a:p>
                    <a:fld id="{D636318A-A37A-4C02-A723-5B28D5C6072D}" type="VALUE">
                      <a:rPr lang="en-US"/>
                      <a:pPr/>
                      <a:t>[VALUE]</a:t>
                    </a:fld>
                    <a:r>
                      <a:rPr lang="en-US"/>
                      <a:t>%</a:t>
                    </a:r>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923B-45BE-A8A6-EA757CBB6A01}"/>
                </c:ext>
              </c:extLst>
            </c:dLbl>
            <c:dLbl>
              <c:idx val="3"/>
              <c:tx>
                <c:rich>
                  <a:bodyPr/>
                  <a:lstStyle/>
                  <a:p>
                    <a:fld id="{20C5947A-0295-4F7D-828A-2E8BD37B1394}" type="VALUE">
                      <a:rPr lang="en-US"/>
                      <a:pPr/>
                      <a:t>[VALUE]</a:t>
                    </a:fld>
                    <a:r>
                      <a:rPr lang="en-US"/>
                      <a:t>%</a:t>
                    </a:r>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923B-45BE-A8A6-EA757CBB6A0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table'!$A$24:$A$28</c:f>
              <c:strCache>
                <c:ptCount val="4"/>
                <c:pt idx="0">
                  <c:v>Absent</c:v>
                </c:pt>
                <c:pt idx="1">
                  <c:v>Leave</c:v>
                </c:pt>
                <c:pt idx="2">
                  <c:v>Present</c:v>
                </c:pt>
                <c:pt idx="3">
                  <c:v>Work From Home</c:v>
                </c:pt>
              </c:strCache>
            </c:strRef>
          </c:cat>
          <c:val>
            <c:numRef>
              <c:f>'Pivot table'!$B$24:$B$28</c:f>
              <c:numCache>
                <c:formatCode>General</c:formatCode>
                <c:ptCount val="4"/>
                <c:pt idx="0">
                  <c:v>8</c:v>
                </c:pt>
                <c:pt idx="1">
                  <c:v>10</c:v>
                </c:pt>
                <c:pt idx="2">
                  <c:v>72</c:v>
                </c:pt>
                <c:pt idx="3">
                  <c:v>10</c:v>
                </c:pt>
              </c:numCache>
            </c:numRef>
          </c:val>
          <c:extLst>
            <c:ext xmlns:c16="http://schemas.microsoft.com/office/drawing/2014/chart" uri="{C3380CC4-5D6E-409C-BE32-E72D297353CC}">
              <c16:uniqueId val="{00000008-923B-45BE-A8A6-EA757CBB6A01}"/>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[HR_Analytics_Dashboard.xlsx]Pivot table!PivotTable6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Performance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table'!$A$33:$A$37</c:f>
              <c:strCache>
                <c:ptCount val="4"/>
                <c:pt idx="0">
                  <c:v>01-12-2025</c:v>
                </c:pt>
                <c:pt idx="1">
                  <c:v>01-01-2026</c:v>
                </c:pt>
                <c:pt idx="2">
                  <c:v>01-02-2026</c:v>
                </c:pt>
                <c:pt idx="3">
                  <c:v>01-03-2026</c:v>
                </c:pt>
              </c:strCache>
            </c:strRef>
          </c:cat>
          <c:val>
            <c:numRef>
              <c:f>'Pivot table'!$B$33:$B$37</c:f>
              <c:numCache>
                <c:formatCode>General</c:formatCode>
                <c:ptCount val="4"/>
                <c:pt idx="0">
                  <c:v>7.08</c:v>
                </c:pt>
                <c:pt idx="1">
                  <c:v>6.8</c:v>
                </c:pt>
                <c:pt idx="2">
                  <c:v>6.64</c:v>
                </c:pt>
                <c:pt idx="3">
                  <c:v>6.6</c:v>
                </c:pt>
              </c:numCache>
            </c:numRef>
          </c:val>
          <c:smooth val="0"/>
          <c:extLst>
            <c:ext xmlns:c16="http://schemas.microsoft.com/office/drawing/2014/chart" uri="{C3380CC4-5D6E-409C-BE32-E72D297353CC}">
              <c16:uniqueId val="{00000000-1847-46D1-9147-855407D403DC}"/>
            </c:ext>
          </c:extLst>
        </c:ser>
        <c:dLbls>
          <c:dLblPos val="t"/>
          <c:showLegendKey val="0"/>
          <c:showVal val="1"/>
          <c:showCatName val="0"/>
          <c:showSerName val="0"/>
          <c:showPercent val="0"/>
          <c:showBubbleSize val="0"/>
        </c:dLbls>
        <c:marker val="1"/>
        <c:smooth val="0"/>
        <c:axId val="1143666928"/>
        <c:axId val="2105170800"/>
      </c:lineChart>
      <c:catAx>
        <c:axId val="1143666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5170800"/>
        <c:crosses val="autoZero"/>
        <c:auto val="1"/>
        <c:lblAlgn val="ctr"/>
        <c:lblOffset val="100"/>
        <c:noMultiLvlLbl val="0"/>
      </c:catAx>
      <c:valAx>
        <c:axId val="2105170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366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[HR_Analytics_Dashboard.xlsx]Pivot table!PivotTable7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Tasks Completed vs Target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table'!$B$40</c:f>
              <c:strCache>
                <c:ptCount val="1"/>
                <c:pt idx="0">
                  <c:v>Sum of Tasks Completed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table'!$A$41:$A$46</c:f>
              <c:strCache>
                <c:ptCount val="5"/>
                <c:pt idx="0">
                  <c:v>Finance</c:v>
                </c:pt>
                <c:pt idx="1">
                  <c:v>HR</c:v>
                </c:pt>
                <c:pt idx="2">
                  <c:v>IT</c:v>
                </c:pt>
                <c:pt idx="3">
                  <c:v>Operations</c:v>
                </c:pt>
                <c:pt idx="4">
                  <c:v>Sales</c:v>
                </c:pt>
              </c:strCache>
            </c:strRef>
          </c:cat>
          <c:val>
            <c:numRef>
              <c:f>'Pivot table'!$B$41:$B$46</c:f>
              <c:numCache>
                <c:formatCode>General</c:formatCode>
                <c:ptCount val="5"/>
                <c:pt idx="0">
                  <c:v>344</c:v>
                </c:pt>
                <c:pt idx="1">
                  <c:v>248</c:v>
                </c:pt>
                <c:pt idx="2">
                  <c:v>324</c:v>
                </c:pt>
                <c:pt idx="3">
                  <c:v>231</c:v>
                </c:pt>
                <c:pt idx="4">
                  <c:v>248</c:v>
                </c:pt>
              </c:numCache>
            </c:numRef>
          </c:val>
          <c:extLst>
            <c:ext xmlns:c16="http://schemas.microsoft.com/office/drawing/2014/chart" uri="{C3380CC4-5D6E-409C-BE32-E72D297353CC}">
              <c16:uniqueId val="{00000000-8EA5-40D5-BE43-1BE8A772DCCD}"/>
            </c:ext>
          </c:extLst>
        </c:ser>
        <c:ser>
          <c:idx val="1"/>
          <c:order val="1"/>
          <c:tx>
            <c:strRef>
              <c:f>'Pivot table'!$C$40</c:f>
              <c:strCache>
                <c:ptCount val="1"/>
                <c:pt idx="0">
                  <c:v>Sum of Target Tasks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table'!$A$41:$A$46</c:f>
              <c:strCache>
                <c:ptCount val="5"/>
                <c:pt idx="0">
                  <c:v>Finance</c:v>
                </c:pt>
                <c:pt idx="1">
                  <c:v>HR</c:v>
                </c:pt>
                <c:pt idx="2">
                  <c:v>IT</c:v>
                </c:pt>
                <c:pt idx="3">
                  <c:v>Operations</c:v>
                </c:pt>
                <c:pt idx="4">
                  <c:v>Sales</c:v>
                </c:pt>
              </c:strCache>
            </c:strRef>
          </c:cat>
          <c:val>
            <c:numRef>
              <c:f>'Pivot table'!$C$41:$C$46</c:f>
              <c:numCache>
                <c:formatCode>General</c:formatCode>
                <c:ptCount val="5"/>
                <c:pt idx="0">
                  <c:v>404</c:v>
                </c:pt>
                <c:pt idx="1">
                  <c:v>372</c:v>
                </c:pt>
                <c:pt idx="2">
                  <c:v>448</c:v>
                </c:pt>
                <c:pt idx="3">
                  <c:v>388</c:v>
                </c:pt>
                <c:pt idx="4">
                  <c:v>380</c:v>
                </c:pt>
              </c:numCache>
            </c:numRef>
          </c:val>
          <c:extLst>
            <c:ext xmlns:c16="http://schemas.microsoft.com/office/drawing/2014/chart" uri="{C3380CC4-5D6E-409C-BE32-E72D297353CC}">
              <c16:uniqueId val="{00000001-8EA5-40D5-BE43-1BE8A772DCCD}"/>
            </c:ext>
          </c:extLst>
        </c:ser>
        <c:dLbls>
          <c:dLblPos val="outEnd"/>
          <c:showLegendKey val="0"/>
          <c:showVal val="1"/>
          <c:showCatName val="0"/>
          <c:showSerName val="0"/>
          <c:showPercent val="0"/>
          <c:showBubbleSize val="0"/>
        </c:dLbls>
        <c:gapWidth val="219"/>
        <c:overlap val="-27"/>
        <c:axId val="1125104992"/>
        <c:axId val="2105287920"/>
      </c:barChart>
      <c:catAx>
        <c:axId val="1125104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5287920"/>
        <c:crosses val="autoZero"/>
        <c:auto val="1"/>
        <c:lblAlgn val="ctr"/>
        <c:lblOffset val="100"/>
        <c:noMultiLvlLbl val="0"/>
      </c:catAx>
      <c:valAx>
        <c:axId val="2105287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5104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[HR_Analytics_Dashboard.xlsx]Pivot table!PivotTable8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Average Overtime by Department</a:t>
            </a:r>
            <a:endParaRPr lang="en-IN"/>
          </a:p>
        </c:rich>
      </c:tx>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table'!$B$51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table'!$A$52:$A$57</c:f>
              <c:strCache>
                <c:ptCount val="5"/>
                <c:pt idx="0">
                  <c:v>Finance</c:v>
                </c:pt>
                <c:pt idx="1">
                  <c:v>HR</c:v>
                </c:pt>
                <c:pt idx="2">
                  <c:v>IT</c:v>
                </c:pt>
                <c:pt idx="3">
                  <c:v>Operations</c:v>
                </c:pt>
                <c:pt idx="4">
                  <c:v>Sales</c:v>
                </c:pt>
              </c:strCache>
            </c:strRef>
          </c:cat>
          <c:val>
            <c:numRef>
              <c:f>'Pivot table'!$B$52:$B$57</c:f>
              <c:numCache>
                <c:formatCode>General</c:formatCode>
                <c:ptCount val="5"/>
                <c:pt idx="0">
                  <c:v>0.54500000000000004</c:v>
                </c:pt>
                <c:pt idx="1">
                  <c:v>0.92000000000000015</c:v>
                </c:pt>
                <c:pt idx="2">
                  <c:v>0.98999999999999988</c:v>
                </c:pt>
                <c:pt idx="3">
                  <c:v>0.71</c:v>
                </c:pt>
                <c:pt idx="4">
                  <c:v>0.60499999999999998</c:v>
                </c:pt>
              </c:numCache>
            </c:numRef>
          </c:val>
          <c:extLst>
            <c:ext xmlns:c16="http://schemas.microsoft.com/office/drawing/2014/chart" uri="{C3380CC4-5D6E-409C-BE32-E72D297353CC}">
              <c16:uniqueId val="{00000000-CCED-4A68-9157-31454B04F628}"/>
            </c:ext>
          </c:extLst>
        </c:ser>
        <c:dLbls>
          <c:dLblPos val="outEnd"/>
          <c:showLegendKey val="0"/>
          <c:showVal val="1"/>
          <c:showCatName val="0"/>
          <c:showSerName val="0"/>
          <c:showPercent val="0"/>
          <c:showBubbleSize val="0"/>
        </c:dLbls>
        <c:gapWidth val="219"/>
        <c:overlap val="-27"/>
        <c:axId val="1125104992"/>
        <c:axId val="2105287920"/>
      </c:barChart>
      <c:catAx>
        <c:axId val="1125104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5287920"/>
        <c:crosses val="autoZero"/>
        <c:auto val="1"/>
        <c:lblAlgn val="ctr"/>
        <c:lblOffset val="100"/>
        <c:noMultiLvlLbl val="0"/>
      </c:catAx>
      <c:valAx>
        <c:axId val="2105287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5104992"/>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[HR_Analytics_Dashboard.xlsx]Pivot table!PivotTable9</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10 Performers</a:t>
            </a:r>
            <a:endParaRPr lang="en-US"/>
          </a:p>
        </c:rich>
      </c:tx>
      <c:layout>
        <c:manualLayout>
          <c:xMode val="edge"/>
          <c:yMode val="edge"/>
          <c:x val="0.32027777777777777"/>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table'!$B$61</c:f>
              <c:strCache>
                <c:ptCount val="1"/>
                <c:pt idx="0">
                  <c:v>Total</c:v>
                </c:pt>
              </c:strCache>
            </c:strRef>
          </c:tx>
          <c:spPr>
            <a:solidFill>
              <a:schemeClr val="accent1"/>
            </a:solidFill>
            <a:ln>
              <a:noFill/>
            </a:ln>
            <a:effectLst/>
          </c:spPr>
          <c:invertIfNegative val="0"/>
          <c:cat>
            <c:strRef>
              <c:f>'Pivot table'!$A$62:$A$87</c:f>
              <c:strCache>
                <c:ptCount val="25"/>
                <c:pt idx="0">
                  <c:v>Riya Agarwal</c:v>
                </c:pt>
                <c:pt idx="1">
                  <c:v>Myra Singh</c:v>
                </c:pt>
                <c:pt idx="2">
                  <c:v>Aditya Desai</c:v>
                </c:pt>
                <c:pt idx="3">
                  <c:v>Aadhya Rao</c:v>
                </c:pt>
                <c:pt idx="4">
                  <c:v>Pooja Verma</c:v>
                </c:pt>
                <c:pt idx="5">
                  <c:v>Priya Mehta</c:v>
                </c:pt>
                <c:pt idx="6">
                  <c:v>Ishita Rao</c:v>
                </c:pt>
                <c:pt idx="7">
                  <c:v>Rahul Nair</c:v>
                </c:pt>
                <c:pt idx="8">
                  <c:v>Sandeep Malhotra</c:v>
                </c:pt>
                <c:pt idx="9">
                  <c:v>Vihaan Iyer</c:v>
                </c:pt>
                <c:pt idx="10">
                  <c:v>Sneha Rao</c:v>
                </c:pt>
                <c:pt idx="11">
                  <c:v>Ananya Mehta</c:v>
                </c:pt>
                <c:pt idx="12">
                  <c:v>Diya Singh</c:v>
                </c:pt>
                <c:pt idx="13">
                  <c:v>Myra Mehta</c:v>
                </c:pt>
                <c:pt idx="14">
                  <c:v>Aadhya Patel</c:v>
                </c:pt>
                <c:pt idx="15">
                  <c:v>Reyansh Mehta</c:v>
                </c:pt>
                <c:pt idx="16">
                  <c:v>Anika Mehta</c:v>
                </c:pt>
                <c:pt idx="17">
                  <c:v>Reyansh Desai</c:v>
                </c:pt>
                <c:pt idx="18">
                  <c:v>Vivaan Sharma</c:v>
                </c:pt>
                <c:pt idx="19">
                  <c:v>Krishna Patel</c:v>
                </c:pt>
                <c:pt idx="20">
                  <c:v>Sneha Nair</c:v>
                </c:pt>
                <c:pt idx="21">
                  <c:v>Vivaan Singh</c:v>
                </c:pt>
                <c:pt idx="22">
                  <c:v>Reyansh Bose</c:v>
                </c:pt>
                <c:pt idx="23">
                  <c:v>Sandeep Desai</c:v>
                </c:pt>
                <c:pt idx="24">
                  <c:v>Aditya Reddy</c:v>
                </c:pt>
              </c:strCache>
            </c:strRef>
          </c:cat>
          <c:val>
            <c:numRef>
              <c:f>'Pivot table'!$B$62:$B$87</c:f>
              <c:numCache>
                <c:formatCode>General</c:formatCode>
                <c:ptCount val="25"/>
                <c:pt idx="0">
                  <c:v>9</c:v>
                </c:pt>
                <c:pt idx="1">
                  <c:v>8.75</c:v>
                </c:pt>
                <c:pt idx="2">
                  <c:v>8.5</c:v>
                </c:pt>
                <c:pt idx="3">
                  <c:v>8.25</c:v>
                </c:pt>
                <c:pt idx="4">
                  <c:v>8</c:v>
                </c:pt>
                <c:pt idx="5">
                  <c:v>8</c:v>
                </c:pt>
                <c:pt idx="6">
                  <c:v>7.75</c:v>
                </c:pt>
                <c:pt idx="7">
                  <c:v>7.75</c:v>
                </c:pt>
                <c:pt idx="8">
                  <c:v>7.5</c:v>
                </c:pt>
                <c:pt idx="9">
                  <c:v>7.5</c:v>
                </c:pt>
                <c:pt idx="10">
                  <c:v>7.25</c:v>
                </c:pt>
                <c:pt idx="11">
                  <c:v>7.25</c:v>
                </c:pt>
                <c:pt idx="12">
                  <c:v>7.25</c:v>
                </c:pt>
                <c:pt idx="13">
                  <c:v>6.5</c:v>
                </c:pt>
                <c:pt idx="14">
                  <c:v>6.5</c:v>
                </c:pt>
                <c:pt idx="15">
                  <c:v>6.5</c:v>
                </c:pt>
                <c:pt idx="16">
                  <c:v>6</c:v>
                </c:pt>
                <c:pt idx="17">
                  <c:v>6</c:v>
                </c:pt>
                <c:pt idx="18">
                  <c:v>5.75</c:v>
                </c:pt>
                <c:pt idx="19">
                  <c:v>5.75</c:v>
                </c:pt>
                <c:pt idx="20">
                  <c:v>5.5</c:v>
                </c:pt>
                <c:pt idx="21">
                  <c:v>5.25</c:v>
                </c:pt>
                <c:pt idx="22">
                  <c:v>5</c:v>
                </c:pt>
                <c:pt idx="23">
                  <c:v>4</c:v>
                </c:pt>
                <c:pt idx="24">
                  <c:v>4</c:v>
                </c:pt>
              </c:numCache>
            </c:numRef>
          </c:val>
          <c:extLst>
            <c:ext xmlns:c16="http://schemas.microsoft.com/office/drawing/2014/chart" uri="{C3380CC4-5D6E-409C-BE32-E72D297353CC}">
              <c16:uniqueId val="{00000000-0980-4418-B9CA-FAAEC72EFBAE}"/>
            </c:ext>
          </c:extLst>
        </c:ser>
        <c:dLbls>
          <c:showLegendKey val="0"/>
          <c:showVal val="0"/>
          <c:showCatName val="0"/>
          <c:showSerName val="0"/>
          <c:showPercent val="0"/>
          <c:showBubbleSize val="0"/>
        </c:dLbls>
        <c:gapWidth val="182"/>
        <c:axId val="1150305680"/>
        <c:axId val="2105088240"/>
      </c:barChart>
      <c:catAx>
        <c:axId val="11503056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5088240"/>
        <c:crosses val="autoZero"/>
        <c:auto val="1"/>
        <c:lblAlgn val="ctr"/>
        <c:lblOffset val="100"/>
        <c:noMultiLvlLbl val="0"/>
      </c:catAx>
      <c:valAx>
        <c:axId val="21050882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0305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[HR_Analytics_Dashboard.xlsx]Pivot table!PivotTable10</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Risk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dLbl>
          <c:idx val="0"/>
          <c:layout>
            <c:manualLayout>
              <c:x val="6.1920999762949659E-2"/>
              <c:y val="5.5555555555555552E-2"/>
            </c:manualLayout>
          </c:layout>
          <c:tx>
            <c:rich>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fld id="{7C1D16ED-DA66-4C77-98AF-7322FA143252}" type="VALUE">
                  <a:rPr lang="en-US"/>
                  <a:pPr>
                    <a:defRPr sz="900" b="0" i="0" u="none" strike="noStrike" kern="1200" baseline="0">
                      <a:solidFill>
                        <a:schemeClr val="tx1">
                          <a:lumMod val="75000"/>
                          <a:lumOff val="25000"/>
                        </a:schemeClr>
                      </a:solidFill>
                      <a:latin typeface="+mn-lt"/>
                      <a:ea typeface="+mn-ea"/>
                      <a:cs typeface="+mn-cs"/>
                    </a:defRPr>
                  </a:pPr>
                  <a:t>[VALUE]</a:t>
                </a:fld>
                <a:r>
                  <a:rPr lang="en-US"/>
                  <a:t>%</a:t>
                </a:r>
              </a:p>
            </c:rich>
          </c:tx>
          <c:spPr>
            <a:noFill/>
            <a:ln>
              <a:solidFill>
                <a:schemeClr val="accent1"/>
              </a:solid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solidFill>
            <a:schemeClr val="accent4"/>
          </a:solidFill>
          <a:ln w="19050">
            <a:solidFill>
              <a:schemeClr val="lt1"/>
            </a:solidFill>
          </a:ln>
          <a:effectLst/>
        </c:spPr>
        <c:dLbl>
          <c:idx val="0"/>
          <c:layout>
            <c:manualLayout>
              <c:x val="-5.8972380726618669E-3"/>
              <c:y val="-6.0185185185185182E-2"/>
            </c:manualLayout>
          </c:layout>
          <c:tx>
            <c:rich>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fld id="{5FA12981-DDE5-4214-A4E6-0F17786F0180}" type="VALUE">
                  <a:rPr lang="en-US"/>
                  <a:pPr>
                    <a:defRPr sz="900" b="0" i="0" u="none" strike="noStrike" kern="1200" baseline="0">
                      <a:solidFill>
                        <a:schemeClr val="tx1">
                          <a:lumMod val="75000"/>
                          <a:lumOff val="25000"/>
                        </a:schemeClr>
                      </a:solidFill>
                      <a:latin typeface="+mn-lt"/>
                      <a:ea typeface="+mn-ea"/>
                      <a:cs typeface="+mn-cs"/>
                    </a:defRPr>
                  </a:pPr>
                  <a:t>[VALUE]</a:t>
                </a:fld>
                <a:r>
                  <a:rPr lang="en-US"/>
                  <a:t>%</a:t>
                </a:r>
              </a:p>
            </c:rich>
          </c:tx>
          <c:spPr>
            <a:noFill/>
            <a:ln>
              <a:solidFill>
                <a:schemeClr val="accent1"/>
              </a:solid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solidFill>
            <a:schemeClr val="accent1"/>
          </a:solidFill>
          <a:ln w="19050">
            <a:solidFill>
              <a:schemeClr val="lt1"/>
            </a:solidFill>
          </a:ln>
          <a:effectLst/>
        </c:spPr>
        <c:dLbl>
          <c:idx val="0"/>
          <c:layout>
            <c:manualLayout>
              <c:x val="-5.8972380726618669E-3"/>
              <c:y val="-8.3333333333333356E-2"/>
            </c:manualLayout>
          </c:layout>
          <c:tx>
            <c:rich>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fld id="{9267A3E2-46BF-4A7E-9313-0401C8839109}" type="VALUE">
                  <a:rPr lang="en-US"/>
                  <a:pPr>
                    <a:defRPr sz="900" b="0" i="0" u="none" strike="noStrike" kern="1200" baseline="0">
                      <a:solidFill>
                        <a:schemeClr val="tx1">
                          <a:lumMod val="75000"/>
                          <a:lumOff val="25000"/>
                        </a:schemeClr>
                      </a:solidFill>
                      <a:latin typeface="+mn-lt"/>
                      <a:ea typeface="+mn-ea"/>
                      <a:cs typeface="+mn-cs"/>
                    </a:defRPr>
                  </a:pPr>
                  <a:t>[VALUE]</a:t>
                </a:fld>
                <a:r>
                  <a:rPr lang="en-US"/>
                  <a:t>%</a:t>
                </a:r>
              </a:p>
            </c:rich>
          </c:tx>
          <c:spPr>
            <a:noFill/>
            <a:ln>
              <a:solidFill>
                <a:schemeClr val="accent1"/>
              </a:solid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chemeClr val="accent2"/>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solidFill>
                <a:schemeClr val="accent1"/>
              </a:solid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5.8972380726618669E-3"/>
              <c:y val="-8.3333333333333356E-2"/>
            </c:manualLayout>
          </c:layout>
          <c:tx>
            <c:rich>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fld id="{9267A3E2-46BF-4A7E-9313-0401C8839109}" type="VALUE">
                  <a:rPr lang="en-US"/>
                  <a:pPr>
                    <a:defRPr sz="900" b="0" i="0" u="none" strike="noStrike" kern="1200" baseline="0">
                      <a:solidFill>
                        <a:schemeClr val="tx1">
                          <a:lumMod val="75000"/>
                          <a:lumOff val="25000"/>
                        </a:schemeClr>
                      </a:solidFill>
                      <a:latin typeface="+mn-lt"/>
                      <a:ea typeface="+mn-ea"/>
                      <a:cs typeface="+mn-cs"/>
                    </a:defRPr>
                  </a:pPr>
                  <a:t>[VALUE]</a:t>
                </a:fld>
                <a:r>
                  <a:rPr lang="en-US"/>
                  <a:t>%</a:t>
                </a:r>
              </a:p>
            </c:rich>
          </c:tx>
          <c:spPr>
            <a:noFill/>
            <a:ln>
              <a:solidFill>
                <a:schemeClr val="accent1"/>
              </a:solid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solidFill>
            <a:schemeClr val="accent1"/>
          </a:solidFill>
          <a:ln w="19050">
            <a:solidFill>
              <a:schemeClr val="lt1"/>
            </a:solidFill>
          </a:ln>
          <a:effectLst/>
        </c:spPr>
        <c:dLbl>
          <c:idx val="0"/>
          <c:layout>
            <c:manualLayout>
              <c:x val="2.6537571326978347E-2"/>
              <c:y val="-5.5582166812481772E-2"/>
            </c:manualLayout>
          </c:layout>
          <c:tx>
            <c:rich>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fld id="{308F7D8E-2A51-4E0E-8F95-F74EDE17A369}" type="VALUE">
                  <a:rPr lang="en-US"/>
                  <a:pPr>
                    <a:defRPr sz="900" b="0" i="0" u="none" strike="noStrike" kern="1200" baseline="0">
                      <a:solidFill>
                        <a:schemeClr val="tx1">
                          <a:lumMod val="75000"/>
                          <a:lumOff val="25000"/>
                        </a:schemeClr>
                      </a:solidFill>
                      <a:latin typeface="+mn-lt"/>
                      <a:ea typeface="+mn-ea"/>
                      <a:cs typeface="+mn-cs"/>
                    </a:defRPr>
                  </a:pPr>
                  <a:t>[VALUE]</a:t>
                </a:fld>
                <a:r>
                  <a:rPr lang="en-US"/>
                  <a:t>%</a:t>
                </a:r>
              </a:p>
            </c:rich>
          </c:tx>
          <c:spPr>
            <a:noFill/>
            <a:ln>
              <a:solidFill>
                <a:schemeClr val="accent1"/>
              </a:solid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chemeClr val="accent1"/>
          </a:solidFill>
          <a:ln w="19050">
            <a:solidFill>
              <a:schemeClr val="lt1"/>
            </a:solidFill>
          </a:ln>
          <a:effectLst/>
        </c:spPr>
        <c:dLbl>
          <c:idx val="0"/>
          <c:layout>
            <c:manualLayout>
              <c:x val="6.1920999762949659E-2"/>
              <c:y val="5.5555555555555552E-2"/>
            </c:manualLayout>
          </c:layout>
          <c:tx>
            <c:rich>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fld id="{7C1D16ED-DA66-4C77-98AF-7322FA143252}" type="VALUE">
                  <a:rPr lang="en-US"/>
                  <a:pPr>
                    <a:defRPr sz="900" b="0" i="0" u="none" strike="noStrike" kern="1200" baseline="0">
                      <a:solidFill>
                        <a:schemeClr val="tx1">
                          <a:lumMod val="75000"/>
                          <a:lumOff val="25000"/>
                        </a:schemeClr>
                      </a:solidFill>
                      <a:latin typeface="+mn-lt"/>
                      <a:ea typeface="+mn-ea"/>
                      <a:cs typeface="+mn-cs"/>
                    </a:defRPr>
                  </a:pPr>
                  <a:t>[VALUE]</a:t>
                </a:fld>
                <a:r>
                  <a:rPr lang="en-US"/>
                  <a:t>%</a:t>
                </a:r>
              </a:p>
            </c:rich>
          </c:tx>
          <c:spPr>
            <a:noFill/>
            <a:ln>
              <a:solidFill>
                <a:schemeClr val="accent1"/>
              </a:solid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9"/>
        <c:spPr>
          <a:solidFill>
            <a:schemeClr val="accent1"/>
          </a:solidFill>
          <a:ln w="19050">
            <a:solidFill>
              <a:schemeClr val="lt1"/>
            </a:solidFill>
          </a:ln>
          <a:effectLst/>
        </c:spPr>
        <c:dLbl>
          <c:idx val="0"/>
          <c:layout>
            <c:manualLayout>
              <c:x val="-5.8972380726618669E-3"/>
              <c:y val="-6.0185185185185182E-2"/>
            </c:manualLayout>
          </c:layout>
          <c:tx>
            <c:rich>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fld id="{5FA12981-DDE5-4214-A4E6-0F17786F0180}" type="VALUE">
                  <a:rPr lang="en-US"/>
                  <a:pPr>
                    <a:defRPr sz="900" b="0" i="0" u="none" strike="noStrike" kern="1200" baseline="0">
                      <a:solidFill>
                        <a:schemeClr val="tx1">
                          <a:lumMod val="75000"/>
                          <a:lumOff val="25000"/>
                        </a:schemeClr>
                      </a:solidFill>
                      <a:latin typeface="+mn-lt"/>
                      <a:ea typeface="+mn-ea"/>
                      <a:cs typeface="+mn-cs"/>
                    </a:defRPr>
                  </a:pPr>
                  <a:t>[VALUE]</a:t>
                </a:fld>
                <a:r>
                  <a:rPr lang="en-US"/>
                  <a:t>%</a:t>
                </a:r>
              </a:p>
            </c:rich>
          </c:tx>
          <c:spPr>
            <a:noFill/>
            <a:ln>
              <a:solidFill>
                <a:schemeClr val="accent1"/>
              </a:solid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5.8972380726618669E-3"/>
              <c:y val="-8.3333333333333356E-2"/>
            </c:manualLayout>
          </c:layout>
          <c:tx>
            <c:rich>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fld id="{9267A3E2-46BF-4A7E-9313-0401C8839109}" type="VALUE">
                  <a:rPr lang="en-US"/>
                  <a:pPr>
                    <a:defRPr/>
                  </a:pPr>
                  <a:t>[VALUE]</a:t>
                </a:fld>
                <a:r>
                  <a:rPr lang="en-US"/>
                  <a:t>%</a:t>
                </a:r>
              </a:p>
            </c:rich>
          </c:tx>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2"/>
        <c:spPr>
          <a:solidFill>
            <a:schemeClr val="accent1"/>
          </a:solidFill>
          <a:ln w="19050">
            <a:solidFill>
              <a:schemeClr val="lt1"/>
            </a:solidFill>
          </a:ln>
          <a:effectLst/>
        </c:spPr>
        <c:dLbl>
          <c:idx val="0"/>
          <c:layout>
            <c:manualLayout>
              <c:x val="2.6537571326978347E-2"/>
              <c:y val="-5.5582166812481772E-2"/>
            </c:manualLayout>
          </c:layout>
          <c:tx>
            <c:rich>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fld id="{308F7D8E-2A51-4E0E-8F95-F74EDE17A369}" type="VALUE">
                  <a:rPr lang="en-US"/>
                  <a:pPr>
                    <a:defRPr/>
                  </a:pPr>
                  <a:t>[VALUE]</a:t>
                </a:fld>
                <a:r>
                  <a:rPr lang="en-US"/>
                  <a:t>%</a:t>
                </a:r>
              </a:p>
            </c:rich>
          </c:tx>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3"/>
        <c:spPr>
          <a:solidFill>
            <a:schemeClr val="accent1"/>
          </a:solidFill>
          <a:ln w="19050">
            <a:solidFill>
              <a:schemeClr val="lt1"/>
            </a:solidFill>
          </a:ln>
          <a:effectLst/>
        </c:spPr>
        <c:dLbl>
          <c:idx val="0"/>
          <c:layout>
            <c:manualLayout>
              <c:x val="6.1920999762949659E-2"/>
              <c:y val="5.5555555555555552E-2"/>
            </c:manualLayout>
          </c:layout>
          <c:tx>
            <c:rich>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fld id="{7C1D16ED-DA66-4C77-98AF-7322FA143252}" type="VALUE">
                  <a:rPr lang="en-US"/>
                  <a:pPr>
                    <a:defRPr/>
                  </a:pPr>
                  <a:t>[VALUE]</a:t>
                </a:fld>
                <a:r>
                  <a:rPr lang="en-US"/>
                  <a:t>%</a:t>
                </a:r>
              </a:p>
            </c:rich>
          </c:tx>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4"/>
        <c:spPr>
          <a:solidFill>
            <a:schemeClr val="accent1"/>
          </a:solidFill>
          <a:ln w="19050">
            <a:solidFill>
              <a:schemeClr val="lt1"/>
            </a:solidFill>
          </a:ln>
          <a:effectLst/>
        </c:spPr>
        <c:dLbl>
          <c:idx val="0"/>
          <c:layout>
            <c:manualLayout>
              <c:x val="-5.8972380726618669E-3"/>
              <c:y val="-6.0185185185185182E-2"/>
            </c:manualLayout>
          </c:layout>
          <c:tx>
            <c:rich>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fld id="{5FA12981-DDE5-4214-A4E6-0F17786F0180}" type="VALUE">
                  <a:rPr lang="en-US"/>
                  <a:pPr>
                    <a:defRPr/>
                  </a:pPr>
                  <a:t>[VALUE]</a:t>
                </a:fld>
                <a:r>
                  <a:rPr lang="en-US"/>
                  <a:t>%</a:t>
                </a:r>
              </a:p>
            </c:rich>
          </c:tx>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18046106736657919"/>
          <c:y val="0.23129337999416741"/>
          <c:w val="0.40047572178477692"/>
          <c:h val="0.66745953630796151"/>
        </c:manualLayout>
      </c:layout>
      <c:doughnutChart>
        <c:varyColors val="1"/>
        <c:ser>
          <c:idx val="0"/>
          <c:order val="0"/>
          <c:tx>
            <c:strRef>
              <c:f>'Pivot table'!$B$107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29C-4B76-A050-1DF7C4C29C6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29C-4B76-A050-1DF7C4C29C6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29C-4B76-A050-1DF7C4C29C6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29C-4B76-A050-1DF7C4C29C60}"/>
              </c:ext>
            </c:extLst>
          </c:dPt>
          <c:dLbls>
            <c:dLbl>
              <c:idx val="0"/>
              <c:layout>
                <c:manualLayout>
                  <c:x val="-5.8972380726618669E-3"/>
                  <c:y val="-8.3333333333333356E-2"/>
                </c:manualLayout>
              </c:layout>
              <c:tx>
                <c:rich>
                  <a:bodyPr/>
                  <a:lstStyle/>
                  <a:p>
                    <a:fld id="{9267A3E2-46BF-4A7E-9313-0401C8839109}" type="VALUE">
                      <a:rPr lang="en-US"/>
                      <a:pPr/>
                      <a:t>[VALUE]</a:t>
                    </a:fld>
                    <a:r>
                      <a:rPr lang="en-US"/>
                      <a:t>%</a:t>
                    </a:r>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829C-4B76-A050-1DF7C4C29C60}"/>
                </c:ext>
              </c:extLst>
            </c:dLbl>
            <c:dLbl>
              <c:idx val="1"/>
              <c:layout>
                <c:manualLayout>
                  <c:x val="2.6537571326978347E-2"/>
                  <c:y val="-5.5582166812481772E-2"/>
                </c:manualLayout>
              </c:layout>
              <c:tx>
                <c:rich>
                  <a:bodyPr/>
                  <a:lstStyle/>
                  <a:p>
                    <a:fld id="{308F7D8E-2A51-4E0E-8F95-F74EDE17A369}" type="VALUE">
                      <a:rPr lang="en-US"/>
                      <a:pPr/>
                      <a:t>[VALUE]</a:t>
                    </a:fld>
                    <a:r>
                      <a:rPr lang="en-US"/>
                      <a:t>%</a:t>
                    </a:r>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829C-4B76-A050-1DF7C4C29C60}"/>
                </c:ext>
              </c:extLst>
            </c:dLbl>
            <c:dLbl>
              <c:idx val="2"/>
              <c:layout>
                <c:manualLayout>
                  <c:x val="6.1920999762949659E-2"/>
                  <c:y val="5.5555555555555552E-2"/>
                </c:manualLayout>
              </c:layout>
              <c:tx>
                <c:rich>
                  <a:bodyPr/>
                  <a:lstStyle/>
                  <a:p>
                    <a:fld id="{7C1D16ED-DA66-4C77-98AF-7322FA143252}" type="VALUE">
                      <a:rPr lang="en-US"/>
                      <a:pPr/>
                      <a:t>[VALUE]</a:t>
                    </a:fld>
                    <a:r>
                      <a:rPr lang="en-US"/>
                      <a:t>%</a:t>
                    </a:r>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829C-4B76-A050-1DF7C4C29C60}"/>
                </c:ext>
              </c:extLst>
            </c:dLbl>
            <c:dLbl>
              <c:idx val="3"/>
              <c:layout>
                <c:manualLayout>
                  <c:x val="-5.8972380726618669E-3"/>
                  <c:y val="-6.0185185185185182E-2"/>
                </c:manualLayout>
              </c:layout>
              <c:tx>
                <c:rich>
                  <a:bodyPr/>
                  <a:lstStyle/>
                  <a:p>
                    <a:fld id="{5FA12981-DDE5-4214-A4E6-0F17786F0180}" type="VALUE">
                      <a:rPr lang="en-US"/>
                      <a:pPr/>
                      <a:t>[VALUE]</a:t>
                    </a:fld>
                    <a:r>
                      <a:rPr lang="en-US"/>
                      <a:t>%</a:t>
                    </a:r>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829C-4B76-A050-1DF7C4C29C60}"/>
                </c:ext>
              </c:extLst>
            </c:dLbl>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table'!$A$108:$A$112</c:f>
              <c:strCache>
                <c:ptCount val="4"/>
                <c:pt idx="0">
                  <c:v>Attendance Risk</c:v>
                </c:pt>
                <c:pt idx="1">
                  <c:v>High Risk</c:v>
                </c:pt>
                <c:pt idx="2">
                  <c:v>OK</c:v>
                </c:pt>
                <c:pt idx="3">
                  <c:v>Performance Risk</c:v>
                </c:pt>
              </c:strCache>
            </c:strRef>
          </c:cat>
          <c:val>
            <c:numRef>
              <c:f>'Pivot table'!$B$108:$B$112</c:f>
              <c:numCache>
                <c:formatCode>General</c:formatCode>
                <c:ptCount val="4"/>
                <c:pt idx="0">
                  <c:v>2</c:v>
                </c:pt>
                <c:pt idx="1">
                  <c:v>3</c:v>
                </c:pt>
                <c:pt idx="2">
                  <c:v>83</c:v>
                </c:pt>
                <c:pt idx="3">
                  <c:v>12</c:v>
                </c:pt>
              </c:numCache>
            </c:numRef>
          </c:val>
          <c:extLst>
            <c:ext xmlns:c16="http://schemas.microsoft.com/office/drawing/2014/chart" uri="{C3380CC4-5D6E-409C-BE32-E72D297353CC}">
              <c16:uniqueId val="{00000008-829C-4B76-A050-1DF7C4C29C60}"/>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13507</xdr:colOff>
      <xdr:row>13</xdr:row>
      <xdr:rowOff>6627</xdr:rowOff>
    </xdr:from>
    <xdr:to>
      <xdr:col>7</xdr:col>
      <xdr:colOff>1</xdr:colOff>
      <xdr:row>27</xdr:row>
      <xdr:rowOff>178905</xdr:rowOff>
    </xdr:to>
    <xdr:graphicFrame macro="">
      <xdr:nvGraphicFramePr>
        <xdr:cNvPr id="2" name="Chart 1">
          <a:extLst>
            <a:ext uri="{FF2B5EF4-FFF2-40B4-BE49-F238E27FC236}">
              <a16:creationId xmlns:a16="http://schemas.microsoft.com/office/drawing/2014/main" id="{A8B6FB2B-4559-4E01-95A4-32E9FBE7FE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119269</xdr:colOff>
      <xdr:row>12</xdr:row>
      <xdr:rowOff>178904</xdr:rowOff>
    </xdr:from>
    <xdr:to>
      <xdr:col>13</xdr:col>
      <xdr:colOff>0</xdr:colOff>
      <xdr:row>28</xdr:row>
      <xdr:rowOff>0</xdr:rowOff>
    </xdr:to>
    <xdr:graphicFrame macro="">
      <xdr:nvGraphicFramePr>
        <xdr:cNvPr id="3" name="Chart 2">
          <a:extLst>
            <a:ext uri="{FF2B5EF4-FFF2-40B4-BE49-F238E27FC236}">
              <a16:creationId xmlns:a16="http://schemas.microsoft.com/office/drawing/2014/main" id="{E66CAD91-B2EF-41A7-82E0-350A440BB0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5097</xdr:colOff>
      <xdr:row>30</xdr:row>
      <xdr:rowOff>6117</xdr:rowOff>
    </xdr:from>
    <xdr:to>
      <xdr:col>7</xdr:col>
      <xdr:colOff>6626</xdr:colOff>
      <xdr:row>44</xdr:row>
      <xdr:rowOff>178904</xdr:rowOff>
    </xdr:to>
    <xdr:graphicFrame macro="">
      <xdr:nvGraphicFramePr>
        <xdr:cNvPr id="4" name="Chart 3">
          <a:extLst>
            <a:ext uri="{FF2B5EF4-FFF2-40B4-BE49-F238E27FC236}">
              <a16:creationId xmlns:a16="http://schemas.microsoft.com/office/drawing/2014/main" id="{C94E34B4-0130-47C9-866F-5DCF7B57FC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86139</xdr:colOff>
      <xdr:row>29</xdr:row>
      <xdr:rowOff>178904</xdr:rowOff>
    </xdr:from>
    <xdr:to>
      <xdr:col>13</xdr:col>
      <xdr:colOff>13252</xdr:colOff>
      <xdr:row>45</xdr:row>
      <xdr:rowOff>10959</xdr:rowOff>
    </xdr:to>
    <xdr:graphicFrame macro="">
      <xdr:nvGraphicFramePr>
        <xdr:cNvPr id="5" name="Chart 4">
          <a:extLst>
            <a:ext uri="{FF2B5EF4-FFF2-40B4-BE49-F238E27FC236}">
              <a16:creationId xmlns:a16="http://schemas.microsoft.com/office/drawing/2014/main" id="{80E2C508-4B0A-4D60-A582-0169C704FE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46</xdr:row>
      <xdr:rowOff>181707</xdr:rowOff>
    </xdr:from>
    <xdr:to>
      <xdr:col>7</xdr:col>
      <xdr:colOff>6626</xdr:colOff>
      <xdr:row>62</xdr:row>
      <xdr:rowOff>17584</xdr:rowOff>
    </xdr:to>
    <xdr:graphicFrame macro="">
      <xdr:nvGraphicFramePr>
        <xdr:cNvPr id="6" name="Chart 5">
          <a:extLst>
            <a:ext uri="{FF2B5EF4-FFF2-40B4-BE49-F238E27FC236}">
              <a16:creationId xmlns:a16="http://schemas.microsoft.com/office/drawing/2014/main" id="{F65E4986-F9DC-4123-828C-DA6B32BC2F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79513</xdr:colOff>
      <xdr:row>46</xdr:row>
      <xdr:rowOff>175081</xdr:rowOff>
    </xdr:from>
    <xdr:to>
      <xdr:col>13</xdr:col>
      <xdr:colOff>19878</xdr:colOff>
      <xdr:row>62</xdr:row>
      <xdr:rowOff>10958</xdr:rowOff>
    </xdr:to>
    <xdr:graphicFrame macro="">
      <xdr:nvGraphicFramePr>
        <xdr:cNvPr id="7" name="Chart 6">
          <a:extLst>
            <a:ext uri="{FF2B5EF4-FFF2-40B4-BE49-F238E27FC236}">
              <a16:creationId xmlns:a16="http://schemas.microsoft.com/office/drawing/2014/main" id="{61B6040D-48D4-4606-BDAD-233CE8B233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0</xdr:colOff>
      <xdr:row>64</xdr:row>
      <xdr:rowOff>0</xdr:rowOff>
    </xdr:from>
    <xdr:to>
      <xdr:col>7</xdr:col>
      <xdr:colOff>0</xdr:colOff>
      <xdr:row>79</xdr:row>
      <xdr:rowOff>17584</xdr:rowOff>
    </xdr:to>
    <xdr:graphicFrame macro="">
      <xdr:nvGraphicFramePr>
        <xdr:cNvPr id="8" name="Chart 7">
          <a:extLst>
            <a:ext uri="{FF2B5EF4-FFF2-40B4-BE49-F238E27FC236}">
              <a16:creationId xmlns:a16="http://schemas.microsoft.com/office/drawing/2014/main" id="{3CC16CB5-9E11-4FEA-9DD6-D9F5355D0C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79513</xdr:colOff>
      <xdr:row>63</xdr:row>
      <xdr:rowOff>177374</xdr:rowOff>
    </xdr:from>
    <xdr:to>
      <xdr:col>13</xdr:col>
      <xdr:colOff>13252</xdr:colOff>
      <xdr:row>79</xdr:row>
      <xdr:rowOff>9428</xdr:rowOff>
    </xdr:to>
    <xdr:graphicFrame macro="">
      <xdr:nvGraphicFramePr>
        <xdr:cNvPr id="9" name="Chart 8">
          <a:extLst>
            <a:ext uri="{FF2B5EF4-FFF2-40B4-BE49-F238E27FC236}">
              <a16:creationId xmlns:a16="http://schemas.microsoft.com/office/drawing/2014/main" id="{635640DA-D00A-4B6F-8748-3ED8762D16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13</xdr:col>
      <xdr:colOff>602975</xdr:colOff>
      <xdr:row>5</xdr:row>
      <xdr:rowOff>6627</xdr:rowOff>
    </xdr:from>
    <xdr:to>
      <xdr:col>16</xdr:col>
      <xdr:colOff>608276</xdr:colOff>
      <xdr:row>12</xdr:row>
      <xdr:rowOff>33131</xdr:rowOff>
    </xdr:to>
    <mc:AlternateContent xmlns:mc="http://schemas.openxmlformats.org/markup-compatibility/2006" xmlns:a14="http://schemas.microsoft.com/office/drawing/2010/main">
      <mc:Choice Requires="a14">
        <xdr:graphicFrame macro="">
          <xdr:nvGraphicFramePr>
            <xdr:cNvPr id="12" name="Department">
              <a:extLst>
                <a:ext uri="{FF2B5EF4-FFF2-40B4-BE49-F238E27FC236}">
                  <a16:creationId xmlns:a16="http://schemas.microsoft.com/office/drawing/2014/main" id="{A1458CA2-BA4F-4334-80FC-DF685BFBC928}"/>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7936728" y="1172818"/>
              <a:ext cx="1828800" cy="18751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6626</xdr:colOff>
      <xdr:row>13</xdr:row>
      <xdr:rowOff>6626</xdr:rowOff>
    </xdr:from>
    <xdr:to>
      <xdr:col>17</xdr:col>
      <xdr:colOff>6626</xdr:colOff>
      <xdr:row>22</xdr:row>
      <xdr:rowOff>158032</xdr:rowOff>
    </xdr:to>
    <mc:AlternateContent xmlns:mc="http://schemas.openxmlformats.org/markup-compatibility/2006" xmlns:a14="http://schemas.microsoft.com/office/drawing/2010/main">
      <mc:Choice Requires="a14">
        <xdr:graphicFrame macro="">
          <xdr:nvGraphicFramePr>
            <xdr:cNvPr id="10" name="Month">
              <a:extLst>
                <a:ext uri="{FF2B5EF4-FFF2-40B4-BE49-F238E27FC236}">
                  <a16:creationId xmlns:a16="http://schemas.microsoft.com/office/drawing/2014/main" id="{8AA2D053-7E2D-4C1F-83EE-D996DDCBB14C}"/>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7944678" y="3207026"/>
              <a:ext cx="1828800" cy="18211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chin Sakhare" refreshedDate="46205.813497685187" createdVersion="8" refreshedVersion="8" minRefreshableVersion="3" recordCount="100" xr:uid="{5A1E4007-AF2D-4F6F-B6B0-154B8EE54B9B}">
  <cacheSource type="worksheet">
    <worksheetSource name="Cleaned_Data"/>
  </cacheSource>
  <cacheFields count="21">
    <cacheField name="Employee ID" numFmtId="0">
      <sharedItems count="25">
        <s v="EMP001"/>
        <s v="EMP002"/>
        <s v="EMP003"/>
        <s v="EMP004"/>
        <s v="EMP005"/>
        <s v="EMP006"/>
        <s v="EMP007"/>
        <s v="EMP008"/>
        <s v="EMP009"/>
        <s v="EMP010"/>
        <s v="EMP011"/>
        <s v="EMP012"/>
        <s v="EMP013"/>
        <s v="EMP014"/>
        <s v="EMP015"/>
        <s v="EMP016"/>
        <s v="EMP017"/>
        <s v="EMP018"/>
        <s v="EMP019"/>
        <s v="EMP020"/>
        <s v="EMP021"/>
        <s v="EMP022"/>
        <s v="EMP023"/>
        <s v="EMP024"/>
        <s v="EMP025"/>
      </sharedItems>
    </cacheField>
    <cacheField name="Employee Name" numFmtId="0">
      <sharedItems count="25">
        <s v="Rahul Nair"/>
        <s v="Krishna Patel"/>
        <s v="Sandeep Desai"/>
        <s v="Vivaan Sharma"/>
        <s v="Riya Agarwal"/>
        <s v="Reyansh Desai"/>
        <s v="Anika Mehta"/>
        <s v="Ananya Mehta"/>
        <s v="Vihaan Iyer"/>
        <s v="Sneha Rao"/>
        <s v="Sandeep Malhotra"/>
        <s v="Aditya Desai"/>
        <s v="Ishita Rao"/>
        <s v="Vivaan Singh"/>
        <s v="Sneha Nair"/>
        <s v="Aadhya Rao"/>
        <s v="Reyansh Mehta"/>
        <s v="Myra Singh"/>
        <s v="Priya Mehta"/>
        <s v="Pooja Verma"/>
        <s v="Aditya Reddy"/>
        <s v="Reyansh Bose"/>
        <s v="Aadhya Patel"/>
        <s v="Myra Mehta"/>
        <s v="Diya Singh"/>
      </sharedItems>
    </cacheField>
    <cacheField name="Department" numFmtId="0">
      <sharedItems count="5">
        <s v="Sales"/>
        <s v="IT"/>
        <s v="HR"/>
        <s v="Finance"/>
        <s v="Operations"/>
      </sharedItems>
    </cacheField>
    <cacheField name="Job Role" numFmtId="0">
      <sharedItems count="15">
        <s v="Sales Executive"/>
        <s v="Sales Manager"/>
        <s v="Business Development Associate"/>
        <s v="Software Engineer"/>
        <s v="System Analyst"/>
        <s v="IT Support Engineer"/>
        <s v="HR Executive"/>
        <s v="HR Manager"/>
        <s v="Talent Acquisition Specialist"/>
        <s v="Financial Analyst"/>
        <s v="Accountant"/>
        <s v="Finance Manager"/>
        <s v="Operations Executive"/>
        <s v="Operations Manager"/>
        <s v="Process Associate"/>
      </sharedItems>
    </cacheField>
    <cacheField name="Location" numFmtId="0">
      <sharedItems/>
    </cacheField>
    <cacheField name="Date" numFmtId="14">
      <sharedItems containsSemiMixedTypes="0" containsNonDate="0" containsDate="1" containsString="0" minDate="2025-12-01T00:00:00" maxDate="2026-04-01T00:00:00"/>
    </cacheField>
    <cacheField name="Month" numFmtId="14">
      <sharedItems containsSemiMixedTypes="0" containsNonDate="0" containsDate="1" containsString="0" minDate="2025-12-01T00:00:00" maxDate="2026-03-02T00:00:00" count="4">
        <d v="2025-12-01T00:00:00"/>
        <d v="2026-01-01T00:00:00"/>
        <d v="2026-02-01T00:00:00"/>
        <d v="2026-03-01T00:00:00"/>
      </sharedItems>
      <fieldGroup par="20"/>
    </cacheField>
    <cacheField name="Attendance Status" numFmtId="0">
      <sharedItems count="4">
        <s v="Present"/>
        <s v="Work From Home"/>
        <s v="Absent"/>
        <s v="Leave"/>
      </sharedItems>
    </cacheField>
    <cacheField name="Working Hours" numFmtId="0">
      <sharedItems containsSemiMixedTypes="0" containsString="0" containsNumber="1" minValue="0" maxValue="9.4"/>
    </cacheField>
    <cacheField name="Overtime Hours" numFmtId="0">
      <sharedItems containsSemiMixedTypes="0" containsString="0" containsNumber="1" minValue="0" maxValue="3"/>
    </cacheField>
    <cacheField name="Tasks Completed" numFmtId="0">
      <sharedItems containsSemiMixedTypes="0" containsString="0" containsNumber="1" containsInteger="1" minValue="0" maxValue="28"/>
    </cacheField>
    <cacheField name="Performance Score" numFmtId="0">
      <sharedItems containsSemiMixedTypes="0" containsString="0" containsNumber="1" containsInteger="1" minValue="1" maxValue="10"/>
    </cacheField>
    <cacheField name="Target Tasks" numFmtId="0">
      <sharedItems containsSemiMixedTypes="0" containsString="0" containsNumber="1" containsInteger="1" minValue="15" maxValue="25"/>
    </cacheField>
    <cacheField name="Achievement %" numFmtId="9">
      <sharedItems containsSemiMixedTypes="0" containsString="0" containsNumber="1" minValue="0" maxValue="1.2273000000000001"/>
    </cacheField>
    <cacheField name="Salary" numFmtId="0">
      <sharedItems containsSemiMixedTypes="0" containsString="0" containsNumber="1" containsInteger="1" minValue="33143" maxValue="81786"/>
    </cacheField>
    <cacheField name="Bonus Eligibility" numFmtId="0">
      <sharedItems/>
    </cacheField>
    <cacheField name="Manager Rating" numFmtId="0">
      <sharedItems containsSemiMixedTypes="0" containsString="0" containsNumber="1" containsInteger="1" minValue="1" maxValue="5"/>
    </cacheField>
    <cacheField name="Remarks" numFmtId="0">
      <sharedItems containsBlank="1"/>
    </cacheField>
    <cacheField name="Months (Month)" numFmtId="0" databaseField="0">
      <fieldGroup base="6">
        <rangePr groupBy="months" startDate="2025-12-01T00:00:00" endDate="2026-03-02T00:00:00"/>
        <groupItems count="14">
          <s v="&lt;01-12-2025"/>
          <s v="Jan"/>
          <s v="Feb"/>
          <s v="Mar"/>
          <s v="Apr"/>
          <s v="May"/>
          <s v="Jun"/>
          <s v="Jul"/>
          <s v="Aug"/>
          <s v="Sep"/>
          <s v="Oct"/>
          <s v="Nov"/>
          <s v="Dec"/>
          <s v="&gt;02-03-2026"/>
        </groupItems>
      </fieldGroup>
    </cacheField>
    <cacheField name="Quarters (Month)" numFmtId="0" databaseField="0">
      <fieldGroup base="6">
        <rangePr groupBy="quarters" startDate="2025-12-01T00:00:00" endDate="2026-03-02T00:00:00"/>
        <groupItems count="6">
          <s v="&lt;01-12-2025"/>
          <s v="Qtr1"/>
          <s v="Qtr2"/>
          <s v="Qtr3"/>
          <s v="Qtr4"/>
          <s v="&gt;02-03-2026"/>
        </groupItems>
      </fieldGroup>
    </cacheField>
    <cacheField name="Years (Month)" numFmtId="0" databaseField="0">
      <fieldGroup base="6">
        <rangePr groupBy="years" startDate="2025-12-01T00:00:00" endDate="2026-03-02T00:00:00"/>
        <groupItems count="4">
          <s v="&lt;01-12-2025"/>
          <s v="2025"/>
          <s v="2026"/>
          <s v="&gt;02-03-2026"/>
        </groupItems>
      </fieldGroup>
    </cacheField>
  </cacheFields>
  <extLst>
    <ext xmlns:x14="http://schemas.microsoft.com/office/spreadsheetml/2009/9/main" uri="{725AE2AE-9491-48be-B2B4-4EB974FC3084}">
      <x14:pivotCacheDefinition pivotCacheId="195028061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chin Sakhare" refreshedDate="46209.552739814812" createdVersion="8" refreshedVersion="8" minRefreshableVersion="3" recordCount="100" xr:uid="{9B03486C-9AE0-4B4C-BE52-00848F38E6BE}">
  <cacheSource type="worksheet">
    <worksheetSource ref="B4:O104" sheet="EmployeeMetrics"/>
  </cacheSource>
  <cacheFields count="14">
    <cacheField name="EmployeeID" numFmtId="0">
      <sharedItems count="100">
        <s v="EMP001"/>
        <s v="EMP002"/>
        <s v="EMP003"/>
        <s v="EMP004"/>
        <s v="EMP005"/>
        <s v="EMP006"/>
        <s v="EMP007"/>
        <s v="EMP008"/>
        <s v="EMP009"/>
        <s v="EMP010"/>
        <s v="EMP011"/>
        <s v="EMP012"/>
        <s v="EMP013"/>
        <s v="EMP014"/>
        <s v="EMP015"/>
        <s v="EMP016"/>
        <s v="EMP017"/>
        <s v="EMP018"/>
        <s v="EMP019"/>
        <s v="EMP020"/>
        <s v="EMP021"/>
        <s v="EMP022"/>
        <s v="EMP023"/>
        <s v="EMP024"/>
        <s v="EMP025"/>
        <s v="EMP026"/>
        <s v="EMP027"/>
        <s v="EMP028"/>
        <s v="EMP029"/>
        <s v="EMP030"/>
        <s v="EMP031"/>
        <s v="EMP032"/>
        <s v="EMP033"/>
        <s v="EMP034"/>
        <s v="EMP035"/>
        <s v="EMP036"/>
        <s v="EMP037"/>
        <s v="EMP038"/>
        <s v="EMP039"/>
        <s v="EMP040"/>
        <s v="EMP041"/>
        <s v="EMP042"/>
        <s v="EMP043"/>
        <s v="EMP044"/>
        <s v="EMP045"/>
        <s v="EMP046"/>
        <s v="EMP047"/>
        <s v="EMP048"/>
        <s v="EMP049"/>
        <s v="EMP050"/>
        <s v="EMP051"/>
        <s v="EMP052"/>
        <s v="EMP053"/>
        <s v="EMP054"/>
        <s v="EMP055"/>
        <s v="EMP056"/>
        <s v="EMP057"/>
        <s v="EMP058"/>
        <s v="EMP059"/>
        <s v="EMP060"/>
        <s v="EMP061"/>
        <s v="EMP062"/>
        <s v="EMP063"/>
        <s v="EMP064"/>
        <s v="EMP065"/>
        <s v="EMP066"/>
        <s v="EMP067"/>
        <s v="EMP068"/>
        <s v="EMP069"/>
        <s v="EMP070"/>
        <s v="EMP071"/>
        <s v="EMP072"/>
        <s v="EMP073"/>
        <s v="EMP074"/>
        <s v="EMP075"/>
        <s v="EMP076"/>
        <s v="EMP077"/>
        <s v="EMP078"/>
        <s v="EMP079"/>
        <s v="EMP080"/>
        <s v="EMP081"/>
        <s v="EMP082"/>
        <s v="EMP083"/>
        <s v="EMP084"/>
        <s v="EMP085"/>
        <s v="EMP086"/>
        <s v="EMP087"/>
        <s v="EMP088"/>
        <s v="EMP089"/>
        <s v="EMP090"/>
        <s v="EMP091"/>
        <s v="EMP092"/>
        <s v="EMP093"/>
        <s v="EMP094"/>
        <s v="EMP095"/>
        <s v="EMP096"/>
        <s v="EMP097"/>
        <s v="EMP098"/>
        <s v="EMP099"/>
        <s v="EMP100"/>
      </sharedItems>
    </cacheField>
    <cacheField name="Name" numFmtId="0">
      <sharedItems/>
    </cacheField>
    <cacheField name="Department" numFmtId="0">
      <sharedItems/>
    </cacheField>
    <cacheField name="JobRole" numFmtId="0">
      <sharedItems/>
    </cacheField>
    <cacheField name="Manager" numFmtId="0">
      <sharedItems/>
    </cacheField>
    <cacheField name="Attendance%" numFmtId="9">
      <sharedItems containsSemiMixedTypes="0" containsString="0" containsNumber="1" containsInteger="1" minValue="0" maxValue="1"/>
    </cacheField>
    <cacheField name="PresentDays" numFmtId="0">
      <sharedItems containsSemiMixedTypes="0" containsString="0" containsNumber="1" containsInteger="1" minValue="0" maxValue="1"/>
    </cacheField>
    <cacheField name="AbsentDays" numFmtId="0">
      <sharedItems containsSemiMixedTypes="0" containsString="0" containsNumber="1" containsInteger="1" minValue="0" maxValue="1"/>
    </cacheField>
    <cacheField name="LateMins" numFmtId="0">
      <sharedItems containsSemiMixedTypes="0" containsString="0" containsNumber="1" containsInteger="1" minValue="0" maxValue="0"/>
    </cacheField>
    <cacheField name="OTHours" numFmtId="0">
      <sharedItems containsSemiMixedTypes="0" containsString="0" containsNumber="1" minValue="0" maxValue="2"/>
    </cacheField>
    <cacheField name="PerfScore" numFmtId="0">
      <sharedItems containsSemiMixedTypes="0" containsString="0" containsNumber="1" minValue="2" maxValue="5"/>
    </cacheField>
    <cacheField name="AttendanceFlag" numFmtId="0">
      <sharedItems count="2">
        <s v="OK"/>
        <s v="LOW"/>
      </sharedItems>
    </cacheField>
    <cacheField name="PerfFlag" numFmtId="0">
      <sharedItems count="2">
        <s v="OK"/>
        <s v="LOW"/>
      </sharedItems>
    </cacheField>
    <cacheField name="RiskTag" numFmtId="0">
      <sharedItems count="4">
        <s v="OK"/>
        <s v="Attendance Risk"/>
        <s v="Performance Risk"/>
        <s v="High Risk"/>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x v="0"/>
    <x v="0"/>
    <s v="Mumbai"/>
    <d v="2025-12-16T00:00:00"/>
    <x v="0"/>
    <x v="0"/>
    <n v="8.6"/>
    <n v="0.7"/>
    <n v="19"/>
    <n v="10"/>
    <n v="20"/>
    <n v="0.95"/>
    <n v="38253"/>
    <s v="Yes"/>
    <n v="5"/>
    <m/>
  </r>
  <r>
    <x v="0"/>
    <x v="0"/>
    <x v="0"/>
    <x v="0"/>
    <s v="Mumbai"/>
    <d v="2026-01-28T00:00:00"/>
    <x v="1"/>
    <x v="0"/>
    <n v="8.1999999999999993"/>
    <n v="2.4"/>
    <n v="20"/>
    <n v="8"/>
    <n v="20"/>
    <n v="1"/>
    <n v="38253"/>
    <s v="Yes"/>
    <n v="4"/>
    <s v="Strong team player"/>
  </r>
  <r>
    <x v="0"/>
    <x v="0"/>
    <x v="0"/>
    <x v="0"/>
    <s v="Mumbai"/>
    <d v="2026-02-06T00:00:00"/>
    <x v="2"/>
    <x v="1"/>
    <n v="8"/>
    <n v="0.3"/>
    <n v="18"/>
    <n v="6"/>
    <n v="20"/>
    <n v="0.9"/>
    <n v="38253"/>
    <s v="No"/>
    <n v="2"/>
    <s v="Excellent work ethic"/>
  </r>
  <r>
    <x v="0"/>
    <x v="0"/>
    <x v="0"/>
    <x v="0"/>
    <s v="Mumbai"/>
    <d v="2026-03-20T00:00:00"/>
    <x v="3"/>
    <x v="0"/>
    <n v="8"/>
    <n v="0"/>
    <n v="18"/>
    <n v="7"/>
    <n v="20"/>
    <n v="0.9"/>
    <n v="38253"/>
    <s v="No"/>
    <n v="3"/>
    <s v="Excellent work ethic"/>
  </r>
  <r>
    <x v="1"/>
    <x v="1"/>
    <x v="0"/>
    <x v="1"/>
    <s v="Mumbai"/>
    <d v="2025-12-20T00:00:00"/>
    <x v="0"/>
    <x v="2"/>
    <n v="0"/>
    <n v="0"/>
    <n v="0"/>
    <n v="4"/>
    <n v="15"/>
    <n v="0"/>
    <n v="78543"/>
    <s v="No"/>
    <n v="2"/>
    <s v="On track with targets"/>
  </r>
  <r>
    <x v="1"/>
    <x v="1"/>
    <x v="0"/>
    <x v="1"/>
    <s v="Mumbai"/>
    <d v="2026-01-09T00:00:00"/>
    <x v="1"/>
    <x v="2"/>
    <n v="0"/>
    <n v="0"/>
    <n v="0"/>
    <n v="2"/>
    <n v="15"/>
    <n v="0"/>
    <n v="78543"/>
    <s v="No"/>
    <n v="1"/>
    <m/>
  </r>
  <r>
    <x v="1"/>
    <x v="1"/>
    <x v="0"/>
    <x v="1"/>
    <s v="Mumbai"/>
    <d v="2026-02-22T00:00:00"/>
    <x v="2"/>
    <x v="1"/>
    <n v="8"/>
    <n v="0.9"/>
    <n v="10"/>
    <n v="7"/>
    <n v="15"/>
    <n v="0.66669999999999996"/>
    <n v="78543"/>
    <s v="No"/>
    <n v="3"/>
    <s v="Strong team player"/>
  </r>
  <r>
    <x v="1"/>
    <x v="1"/>
    <x v="0"/>
    <x v="1"/>
    <s v="Mumbai"/>
    <d v="2026-03-29T00:00:00"/>
    <x v="3"/>
    <x v="0"/>
    <n v="8.1"/>
    <n v="0.2"/>
    <n v="18"/>
    <n v="10"/>
    <n v="15"/>
    <n v="1.2"/>
    <n v="78543"/>
    <s v="Yes"/>
    <n v="4"/>
    <s v="Needs improvement"/>
  </r>
  <r>
    <x v="2"/>
    <x v="2"/>
    <x v="0"/>
    <x v="2"/>
    <s v="Mumbai"/>
    <d v="2025-12-25T00:00:00"/>
    <x v="0"/>
    <x v="0"/>
    <n v="8.8000000000000007"/>
    <n v="0"/>
    <n v="22"/>
    <n v="6"/>
    <n v="25"/>
    <n v="0.88"/>
    <n v="44837"/>
    <s v="No"/>
    <n v="2"/>
    <m/>
  </r>
  <r>
    <x v="2"/>
    <x v="2"/>
    <x v="0"/>
    <x v="2"/>
    <s v="Mumbai"/>
    <d v="2026-01-10T00:00:00"/>
    <x v="1"/>
    <x v="0"/>
    <n v="8.4"/>
    <n v="1.5"/>
    <n v="22"/>
    <n v="8"/>
    <n v="25"/>
    <n v="0.88"/>
    <n v="44837"/>
    <s v="No"/>
    <n v="4"/>
    <s v="Frequent late coming"/>
  </r>
  <r>
    <x v="2"/>
    <x v="2"/>
    <x v="0"/>
    <x v="2"/>
    <s v="Mumbai"/>
    <d v="2026-02-01T00:00:00"/>
    <x v="2"/>
    <x v="2"/>
    <n v="0"/>
    <n v="0"/>
    <n v="0"/>
    <n v="1"/>
    <n v="25"/>
    <n v="0"/>
    <n v="44837"/>
    <s v="No"/>
    <n v="1"/>
    <m/>
  </r>
  <r>
    <x v="2"/>
    <x v="2"/>
    <x v="0"/>
    <x v="2"/>
    <s v="Mumbai"/>
    <d v="2026-03-09T00:00:00"/>
    <x v="3"/>
    <x v="2"/>
    <n v="0"/>
    <n v="0"/>
    <n v="0"/>
    <n v="1"/>
    <n v="25"/>
    <n v="0"/>
    <n v="44837"/>
    <s v="No"/>
    <n v="1"/>
    <m/>
  </r>
  <r>
    <x v="3"/>
    <x v="3"/>
    <x v="0"/>
    <x v="0"/>
    <s v="Mumbai"/>
    <d v="2025-12-17T00:00:00"/>
    <x v="0"/>
    <x v="3"/>
    <n v="0"/>
    <n v="0"/>
    <n v="0"/>
    <n v="2"/>
    <n v="20"/>
    <n v="0"/>
    <n v="37791"/>
    <s v="No"/>
    <n v="1"/>
    <s v="Strong team player"/>
  </r>
  <r>
    <x v="3"/>
    <x v="3"/>
    <x v="0"/>
    <x v="0"/>
    <s v="Mumbai"/>
    <d v="2026-01-10T00:00:00"/>
    <x v="1"/>
    <x v="1"/>
    <n v="8.5"/>
    <n v="0.4"/>
    <n v="15"/>
    <n v="8"/>
    <n v="20"/>
    <n v="0.75"/>
    <n v="37791"/>
    <s v="No"/>
    <n v="5"/>
    <s v="On track with targets"/>
  </r>
  <r>
    <x v="3"/>
    <x v="3"/>
    <x v="0"/>
    <x v="0"/>
    <s v="Mumbai"/>
    <d v="2026-02-20T00:00:00"/>
    <x v="2"/>
    <x v="0"/>
    <n v="8.9"/>
    <n v="0"/>
    <n v="16"/>
    <n v="8"/>
    <n v="20"/>
    <n v="0.8"/>
    <n v="37791"/>
    <s v="No"/>
    <n v="5"/>
    <s v="Consistent performer"/>
  </r>
  <r>
    <x v="3"/>
    <x v="3"/>
    <x v="0"/>
    <x v="0"/>
    <s v="Mumbai"/>
    <d v="2026-03-25T00:00:00"/>
    <x v="3"/>
    <x v="0"/>
    <n v="8"/>
    <n v="0.6"/>
    <n v="13"/>
    <n v="5"/>
    <n v="20"/>
    <n v="0.65"/>
    <n v="37791"/>
    <s v="No"/>
    <n v="3"/>
    <s v="On track with targets"/>
  </r>
  <r>
    <x v="4"/>
    <x v="4"/>
    <x v="0"/>
    <x v="1"/>
    <s v="Mumbai"/>
    <d v="2025-12-30T00:00:00"/>
    <x v="0"/>
    <x v="0"/>
    <n v="9.1"/>
    <n v="0.7"/>
    <n v="15"/>
    <n v="9"/>
    <n v="15"/>
    <n v="1"/>
    <n v="77597"/>
    <s v="Yes"/>
    <n v="4"/>
    <s v="Consistent performer"/>
  </r>
  <r>
    <x v="4"/>
    <x v="4"/>
    <x v="0"/>
    <x v="1"/>
    <s v="Mumbai"/>
    <d v="2026-01-16T00:00:00"/>
    <x v="1"/>
    <x v="0"/>
    <n v="8.5"/>
    <n v="2.2999999999999998"/>
    <n v="13"/>
    <n v="10"/>
    <n v="15"/>
    <n v="0.86670000000000003"/>
    <n v="77597"/>
    <s v="No"/>
    <n v="3"/>
    <s v="Consistent performer"/>
  </r>
  <r>
    <x v="4"/>
    <x v="4"/>
    <x v="0"/>
    <x v="1"/>
    <s v="Mumbai"/>
    <d v="2026-02-27T00:00:00"/>
    <x v="2"/>
    <x v="1"/>
    <n v="8.8000000000000007"/>
    <n v="0.9"/>
    <n v="12"/>
    <n v="8"/>
    <n v="15"/>
    <n v="0.8"/>
    <n v="77597"/>
    <s v="No"/>
    <n v="3"/>
    <s v="Good performance"/>
  </r>
  <r>
    <x v="4"/>
    <x v="4"/>
    <x v="0"/>
    <x v="1"/>
    <s v="Mumbai"/>
    <d v="2026-03-02T00:00:00"/>
    <x v="3"/>
    <x v="0"/>
    <n v="8.1999999999999993"/>
    <n v="1.2"/>
    <n v="17"/>
    <n v="9"/>
    <n v="15"/>
    <n v="1.1333"/>
    <n v="77597"/>
    <s v="Yes"/>
    <n v="4"/>
    <s v="Requires coaching"/>
  </r>
  <r>
    <x v="5"/>
    <x v="5"/>
    <x v="1"/>
    <x v="3"/>
    <s v="Pune"/>
    <d v="2025-12-31T00:00:00"/>
    <x v="0"/>
    <x v="0"/>
    <n v="8"/>
    <n v="1.7"/>
    <n v="23"/>
    <n v="8"/>
    <n v="25"/>
    <n v="0.92"/>
    <n v="64805"/>
    <s v="Yes"/>
    <n v="4"/>
    <m/>
  </r>
  <r>
    <x v="5"/>
    <x v="5"/>
    <x v="1"/>
    <x v="3"/>
    <s v="Pune"/>
    <d v="2026-01-16T00:00:00"/>
    <x v="1"/>
    <x v="1"/>
    <n v="8.4"/>
    <n v="1.8"/>
    <n v="18"/>
    <n v="7"/>
    <n v="25"/>
    <n v="0.72"/>
    <n v="64805"/>
    <s v="No"/>
    <n v="3"/>
    <s v="On track with targets"/>
  </r>
  <r>
    <x v="5"/>
    <x v="5"/>
    <x v="1"/>
    <x v="3"/>
    <s v="Pune"/>
    <d v="2026-02-25T00:00:00"/>
    <x v="2"/>
    <x v="0"/>
    <n v="7.4"/>
    <n v="1.1000000000000001"/>
    <n v="22"/>
    <n v="8"/>
    <n v="25"/>
    <n v="0.88"/>
    <n v="64805"/>
    <s v="No"/>
    <n v="4"/>
    <s v="Strong team player"/>
  </r>
  <r>
    <x v="5"/>
    <x v="5"/>
    <x v="1"/>
    <x v="3"/>
    <s v="Pune"/>
    <d v="2026-03-16T00:00:00"/>
    <x v="3"/>
    <x v="3"/>
    <n v="0"/>
    <n v="0"/>
    <n v="0"/>
    <n v="1"/>
    <n v="25"/>
    <n v="0"/>
    <n v="64805"/>
    <s v="No"/>
    <n v="1"/>
    <m/>
  </r>
  <r>
    <x v="6"/>
    <x v="6"/>
    <x v="1"/>
    <x v="4"/>
    <s v="Mumbai"/>
    <d v="2025-12-09T00:00:00"/>
    <x v="0"/>
    <x v="0"/>
    <n v="8.1"/>
    <n v="0"/>
    <n v="21"/>
    <n v="8"/>
    <n v="25"/>
    <n v="0.84"/>
    <n v="57307"/>
    <s v="No"/>
    <n v="5"/>
    <s v="Requires coaching"/>
  </r>
  <r>
    <x v="6"/>
    <x v="6"/>
    <x v="1"/>
    <x v="4"/>
    <s v="Mumbai"/>
    <d v="2026-01-14T00:00:00"/>
    <x v="1"/>
    <x v="2"/>
    <n v="0"/>
    <n v="0"/>
    <n v="0"/>
    <n v="2"/>
    <n v="25"/>
    <n v="0"/>
    <n v="57307"/>
    <s v="No"/>
    <n v="1"/>
    <s v="On track with targets"/>
  </r>
  <r>
    <x v="6"/>
    <x v="6"/>
    <x v="1"/>
    <x v="4"/>
    <s v="Mumbai"/>
    <d v="2026-02-25T00:00:00"/>
    <x v="2"/>
    <x v="1"/>
    <n v="8.3000000000000007"/>
    <n v="0"/>
    <n v="21"/>
    <n v="8"/>
    <n v="25"/>
    <n v="0.84"/>
    <n v="57307"/>
    <s v="No"/>
    <n v="5"/>
    <s v="Good performance"/>
  </r>
  <r>
    <x v="6"/>
    <x v="6"/>
    <x v="1"/>
    <x v="4"/>
    <s v="Mumbai"/>
    <d v="2026-03-23T00:00:00"/>
    <x v="3"/>
    <x v="0"/>
    <n v="8.1999999999999993"/>
    <n v="1.1000000000000001"/>
    <n v="21"/>
    <n v="6"/>
    <n v="25"/>
    <n v="0.84"/>
    <n v="57307"/>
    <s v="No"/>
    <n v="4"/>
    <s v="Strong team player"/>
  </r>
  <r>
    <x v="7"/>
    <x v="7"/>
    <x v="1"/>
    <x v="5"/>
    <s v="Bangalore"/>
    <d v="2025-12-21T00:00:00"/>
    <x v="0"/>
    <x v="0"/>
    <n v="8.8000000000000007"/>
    <n v="1.6"/>
    <n v="15"/>
    <n v="9"/>
    <n v="22"/>
    <n v="0.68179999999999996"/>
    <n v="39763"/>
    <s v="No"/>
    <n v="4"/>
    <s v="On track with targets"/>
  </r>
  <r>
    <x v="7"/>
    <x v="7"/>
    <x v="1"/>
    <x v="5"/>
    <s v="Bangalore"/>
    <d v="2026-01-15T00:00:00"/>
    <x v="1"/>
    <x v="0"/>
    <n v="8.6999999999999993"/>
    <n v="3"/>
    <n v="15"/>
    <n v="6"/>
    <n v="22"/>
    <n v="0.68179999999999996"/>
    <n v="39763"/>
    <s v="No"/>
    <n v="3"/>
    <s v="Good performance"/>
  </r>
  <r>
    <x v="7"/>
    <x v="7"/>
    <x v="1"/>
    <x v="5"/>
    <s v="Bangalore"/>
    <d v="2026-02-03T00:00:00"/>
    <x v="2"/>
    <x v="0"/>
    <n v="8"/>
    <n v="0"/>
    <n v="19"/>
    <n v="7"/>
    <n v="22"/>
    <n v="0.86360000000000003"/>
    <n v="39763"/>
    <s v="No"/>
    <n v="4"/>
    <s v="Requires coaching"/>
  </r>
  <r>
    <x v="7"/>
    <x v="7"/>
    <x v="1"/>
    <x v="5"/>
    <s v="Bangalore"/>
    <d v="2026-03-18T00:00:00"/>
    <x v="3"/>
    <x v="0"/>
    <n v="7.7"/>
    <n v="2.2999999999999998"/>
    <n v="16"/>
    <n v="7"/>
    <n v="22"/>
    <n v="0.72729999999999995"/>
    <n v="39763"/>
    <s v="No"/>
    <n v="4"/>
    <s v="Good performance"/>
  </r>
  <r>
    <x v="8"/>
    <x v="8"/>
    <x v="1"/>
    <x v="3"/>
    <s v="Pune"/>
    <d v="2025-12-01T00:00:00"/>
    <x v="0"/>
    <x v="0"/>
    <n v="7.6"/>
    <n v="1"/>
    <n v="24"/>
    <n v="8"/>
    <n v="22"/>
    <n v="1.0909"/>
    <n v="63792"/>
    <s v="Yes"/>
    <n v="4"/>
    <s v="Strong team player"/>
  </r>
  <r>
    <x v="8"/>
    <x v="8"/>
    <x v="1"/>
    <x v="3"/>
    <s v="Pune"/>
    <d v="2026-01-02T00:00:00"/>
    <x v="1"/>
    <x v="0"/>
    <n v="8.5"/>
    <n v="1.6"/>
    <n v="14"/>
    <n v="5"/>
    <n v="22"/>
    <n v="0.63639999999999997"/>
    <n v="63792"/>
    <s v="No"/>
    <n v="3"/>
    <m/>
  </r>
  <r>
    <x v="8"/>
    <x v="8"/>
    <x v="1"/>
    <x v="3"/>
    <s v="Pune"/>
    <d v="2026-02-28T00:00:00"/>
    <x v="2"/>
    <x v="0"/>
    <n v="8.5"/>
    <n v="1.1000000000000001"/>
    <n v="20"/>
    <n v="7"/>
    <n v="22"/>
    <n v="0.90910000000000002"/>
    <n v="63792"/>
    <s v="No"/>
    <n v="4"/>
    <s v="On track with targets"/>
  </r>
  <r>
    <x v="8"/>
    <x v="8"/>
    <x v="1"/>
    <x v="3"/>
    <s v="Pune"/>
    <d v="2026-03-08T00:00:00"/>
    <x v="3"/>
    <x v="0"/>
    <n v="8.5"/>
    <n v="0.1"/>
    <n v="26"/>
    <n v="10"/>
    <n v="22"/>
    <n v="1.1818"/>
    <n v="63792"/>
    <s v="Yes"/>
    <n v="4"/>
    <s v="Frequent late coming"/>
  </r>
  <r>
    <x v="9"/>
    <x v="9"/>
    <x v="1"/>
    <x v="4"/>
    <s v="Chennai"/>
    <d v="2025-12-07T00:00:00"/>
    <x v="0"/>
    <x v="0"/>
    <n v="8.6999999999999993"/>
    <n v="0"/>
    <n v="18"/>
    <n v="10"/>
    <n v="18"/>
    <n v="1"/>
    <n v="58166"/>
    <s v="Yes"/>
    <n v="5"/>
    <m/>
  </r>
  <r>
    <x v="9"/>
    <x v="9"/>
    <x v="1"/>
    <x v="4"/>
    <s v="Chennai"/>
    <d v="2026-01-30T00:00:00"/>
    <x v="1"/>
    <x v="3"/>
    <n v="0"/>
    <n v="0"/>
    <n v="0"/>
    <n v="3"/>
    <n v="18"/>
    <n v="0"/>
    <n v="58166"/>
    <s v="No"/>
    <n v="2"/>
    <s v="Requires coaching"/>
  </r>
  <r>
    <x v="9"/>
    <x v="9"/>
    <x v="1"/>
    <x v="4"/>
    <s v="Chennai"/>
    <d v="2026-02-16T00:00:00"/>
    <x v="2"/>
    <x v="0"/>
    <n v="8.8000000000000007"/>
    <n v="2.7"/>
    <n v="15"/>
    <n v="7"/>
    <n v="18"/>
    <n v="0.83330000000000004"/>
    <n v="58166"/>
    <s v="No"/>
    <n v="3"/>
    <s v="Frequent late coming"/>
  </r>
  <r>
    <x v="9"/>
    <x v="9"/>
    <x v="1"/>
    <x v="4"/>
    <s v="Chennai"/>
    <d v="2026-03-26T00:00:00"/>
    <x v="3"/>
    <x v="0"/>
    <n v="7.8"/>
    <n v="0.7"/>
    <n v="16"/>
    <n v="9"/>
    <n v="18"/>
    <n v="0.88890000000000002"/>
    <n v="58166"/>
    <s v="No"/>
    <n v="5"/>
    <m/>
  </r>
  <r>
    <x v="10"/>
    <x v="10"/>
    <x v="2"/>
    <x v="6"/>
    <s v="Chennai"/>
    <d v="2025-12-04T00:00:00"/>
    <x v="0"/>
    <x v="0"/>
    <n v="8.3000000000000007"/>
    <n v="2.2999999999999998"/>
    <n v="20"/>
    <n v="10"/>
    <n v="25"/>
    <n v="0.8"/>
    <n v="35022"/>
    <s v="No"/>
    <n v="5"/>
    <s v="Consistent performer"/>
  </r>
  <r>
    <x v="10"/>
    <x v="10"/>
    <x v="2"/>
    <x v="6"/>
    <s v="Chennai"/>
    <d v="2026-01-14T00:00:00"/>
    <x v="1"/>
    <x v="0"/>
    <n v="7.8"/>
    <n v="0"/>
    <n v="23"/>
    <n v="8"/>
    <n v="25"/>
    <n v="0.92"/>
    <n v="35022"/>
    <s v="Yes"/>
    <n v="4"/>
    <m/>
  </r>
  <r>
    <x v="10"/>
    <x v="10"/>
    <x v="2"/>
    <x v="6"/>
    <s v="Chennai"/>
    <d v="2026-02-02T00:00:00"/>
    <x v="2"/>
    <x v="0"/>
    <n v="8.6"/>
    <n v="0.7"/>
    <n v="17"/>
    <n v="5"/>
    <n v="25"/>
    <n v="0.68"/>
    <n v="35022"/>
    <s v="No"/>
    <n v="2"/>
    <s v="Strong team player"/>
  </r>
  <r>
    <x v="10"/>
    <x v="10"/>
    <x v="2"/>
    <x v="6"/>
    <s v="Chennai"/>
    <d v="2026-03-04T00:00:00"/>
    <x v="3"/>
    <x v="0"/>
    <n v="8.8000000000000007"/>
    <n v="1"/>
    <n v="16"/>
    <n v="7"/>
    <n v="25"/>
    <n v="0.64"/>
    <n v="35022"/>
    <s v="No"/>
    <n v="4"/>
    <m/>
  </r>
  <r>
    <x v="11"/>
    <x v="11"/>
    <x v="2"/>
    <x v="7"/>
    <s v="Delhi"/>
    <d v="2025-12-11T00:00:00"/>
    <x v="0"/>
    <x v="1"/>
    <n v="7.8"/>
    <n v="1"/>
    <n v="13"/>
    <n v="7"/>
    <n v="15"/>
    <n v="0.86670000000000003"/>
    <n v="75149"/>
    <s v="No"/>
    <n v="4"/>
    <m/>
  </r>
  <r>
    <x v="11"/>
    <x v="11"/>
    <x v="2"/>
    <x v="7"/>
    <s v="Delhi"/>
    <d v="2026-01-08T00:00:00"/>
    <x v="1"/>
    <x v="0"/>
    <n v="8.6"/>
    <n v="1.9"/>
    <n v="16"/>
    <n v="8"/>
    <n v="15"/>
    <n v="1.0667"/>
    <n v="75149"/>
    <s v="Yes"/>
    <n v="3"/>
    <s v="On track with targets"/>
  </r>
  <r>
    <x v="11"/>
    <x v="11"/>
    <x v="2"/>
    <x v="7"/>
    <s v="Delhi"/>
    <d v="2026-02-15T00:00:00"/>
    <x v="2"/>
    <x v="0"/>
    <n v="8.6"/>
    <n v="1.3"/>
    <n v="14"/>
    <n v="10"/>
    <n v="15"/>
    <n v="0.93330000000000002"/>
    <n v="75149"/>
    <s v="Yes"/>
    <n v="5"/>
    <m/>
  </r>
  <r>
    <x v="11"/>
    <x v="11"/>
    <x v="2"/>
    <x v="7"/>
    <s v="Delhi"/>
    <d v="2026-03-09T00:00:00"/>
    <x v="3"/>
    <x v="0"/>
    <n v="9"/>
    <n v="1.8"/>
    <n v="15"/>
    <n v="9"/>
    <n v="15"/>
    <n v="1"/>
    <n v="75149"/>
    <s v="Yes"/>
    <n v="5"/>
    <m/>
  </r>
  <r>
    <x v="12"/>
    <x v="12"/>
    <x v="2"/>
    <x v="8"/>
    <s v="Chennai"/>
    <d v="2025-12-15T00:00:00"/>
    <x v="0"/>
    <x v="1"/>
    <n v="7.8"/>
    <n v="0.6"/>
    <n v="14"/>
    <n v="8"/>
    <n v="18"/>
    <n v="0.77780000000000005"/>
    <n v="44575"/>
    <s v="No"/>
    <n v="5"/>
    <s v="On track with targets"/>
  </r>
  <r>
    <x v="12"/>
    <x v="12"/>
    <x v="2"/>
    <x v="8"/>
    <s v="Chennai"/>
    <d v="2026-01-04T00:00:00"/>
    <x v="1"/>
    <x v="0"/>
    <n v="7.2"/>
    <n v="1.5"/>
    <n v="10"/>
    <n v="5"/>
    <n v="18"/>
    <n v="0.55559999999999998"/>
    <n v="44575"/>
    <s v="No"/>
    <n v="3"/>
    <s v="On track with targets"/>
  </r>
  <r>
    <x v="12"/>
    <x v="12"/>
    <x v="2"/>
    <x v="8"/>
    <s v="Chennai"/>
    <d v="2026-02-27T00:00:00"/>
    <x v="2"/>
    <x v="0"/>
    <n v="8.3000000000000007"/>
    <n v="0"/>
    <n v="13"/>
    <n v="8"/>
    <n v="18"/>
    <n v="0.72219999999999995"/>
    <n v="44575"/>
    <s v="No"/>
    <n v="4"/>
    <m/>
  </r>
  <r>
    <x v="12"/>
    <x v="12"/>
    <x v="2"/>
    <x v="8"/>
    <s v="Chennai"/>
    <d v="2026-03-30T00:00:00"/>
    <x v="3"/>
    <x v="1"/>
    <n v="8.4"/>
    <n v="0.8"/>
    <n v="13"/>
    <n v="10"/>
    <n v="18"/>
    <n v="0.72219999999999995"/>
    <n v="44575"/>
    <s v="No"/>
    <n v="5"/>
    <s v="Good performance"/>
  </r>
  <r>
    <x v="13"/>
    <x v="13"/>
    <x v="2"/>
    <x v="6"/>
    <s v="Delhi"/>
    <d v="2025-12-06T00:00:00"/>
    <x v="0"/>
    <x v="0"/>
    <n v="7.1"/>
    <n v="1"/>
    <n v="15"/>
    <n v="8"/>
    <n v="20"/>
    <n v="0.75"/>
    <n v="34653"/>
    <s v="No"/>
    <n v="4"/>
    <s v="Frequent late coming"/>
  </r>
  <r>
    <x v="13"/>
    <x v="13"/>
    <x v="2"/>
    <x v="6"/>
    <s v="Delhi"/>
    <d v="2026-01-07T00:00:00"/>
    <x v="1"/>
    <x v="3"/>
    <n v="0"/>
    <n v="0"/>
    <n v="0"/>
    <n v="2"/>
    <n v="20"/>
    <n v="0"/>
    <n v="34653"/>
    <s v="No"/>
    <n v="1"/>
    <m/>
  </r>
  <r>
    <x v="13"/>
    <x v="13"/>
    <x v="2"/>
    <x v="6"/>
    <s v="Delhi"/>
    <d v="2026-02-06T00:00:00"/>
    <x v="2"/>
    <x v="0"/>
    <n v="8.8000000000000007"/>
    <n v="0"/>
    <n v="16"/>
    <n v="7"/>
    <n v="20"/>
    <n v="0.8"/>
    <n v="34653"/>
    <s v="No"/>
    <n v="3"/>
    <s v="Excellent work ethic"/>
  </r>
  <r>
    <x v="13"/>
    <x v="13"/>
    <x v="2"/>
    <x v="6"/>
    <s v="Delhi"/>
    <d v="2026-03-09T00:00:00"/>
    <x v="3"/>
    <x v="3"/>
    <n v="0"/>
    <n v="0"/>
    <n v="0"/>
    <n v="4"/>
    <n v="20"/>
    <n v="0"/>
    <n v="34653"/>
    <s v="No"/>
    <n v="2"/>
    <s v="Frequent late coming"/>
  </r>
  <r>
    <x v="14"/>
    <x v="14"/>
    <x v="2"/>
    <x v="7"/>
    <s v="Pune"/>
    <d v="2025-12-10T00:00:00"/>
    <x v="0"/>
    <x v="0"/>
    <n v="7.5"/>
    <n v="1.7"/>
    <n v="18"/>
    <n v="10"/>
    <n v="15"/>
    <n v="1.2"/>
    <n v="72277"/>
    <s v="Yes"/>
    <n v="4"/>
    <m/>
  </r>
  <r>
    <x v="14"/>
    <x v="14"/>
    <x v="2"/>
    <x v="7"/>
    <s v="Pune"/>
    <d v="2026-01-26T00:00:00"/>
    <x v="1"/>
    <x v="0"/>
    <n v="8"/>
    <n v="2.1"/>
    <n v="11"/>
    <n v="8"/>
    <n v="15"/>
    <n v="0.73329999999999995"/>
    <n v="72277"/>
    <s v="No"/>
    <n v="4"/>
    <m/>
  </r>
  <r>
    <x v="14"/>
    <x v="14"/>
    <x v="2"/>
    <x v="7"/>
    <s v="Pune"/>
    <d v="2026-02-16T00:00:00"/>
    <x v="2"/>
    <x v="0"/>
    <n v="7.7"/>
    <n v="0.7"/>
    <n v="4"/>
    <n v="3"/>
    <n v="15"/>
    <n v="0.26669999999999999"/>
    <n v="72277"/>
    <s v="No"/>
    <n v="1"/>
    <s v="Needs improvement"/>
  </r>
  <r>
    <x v="14"/>
    <x v="14"/>
    <x v="2"/>
    <x v="7"/>
    <s v="Pune"/>
    <d v="2026-03-07T00:00:00"/>
    <x v="3"/>
    <x v="2"/>
    <n v="0"/>
    <n v="0"/>
    <n v="0"/>
    <n v="1"/>
    <n v="15"/>
    <n v="0"/>
    <n v="72277"/>
    <s v="No"/>
    <n v="1"/>
    <s v="Requires coaching"/>
  </r>
  <r>
    <x v="15"/>
    <x v="15"/>
    <x v="3"/>
    <x v="9"/>
    <s v="Bangalore"/>
    <d v="2025-12-24T00:00:00"/>
    <x v="0"/>
    <x v="0"/>
    <n v="7.4"/>
    <n v="0.4"/>
    <n v="19"/>
    <n v="10"/>
    <n v="22"/>
    <n v="0.86360000000000003"/>
    <n v="56032"/>
    <s v="No"/>
    <n v="4"/>
    <m/>
  </r>
  <r>
    <x v="15"/>
    <x v="15"/>
    <x v="3"/>
    <x v="9"/>
    <s v="Bangalore"/>
    <d v="2026-01-11T00:00:00"/>
    <x v="1"/>
    <x v="0"/>
    <n v="9"/>
    <n v="0.8"/>
    <n v="15"/>
    <n v="7"/>
    <n v="22"/>
    <n v="0.68179999999999996"/>
    <n v="56032"/>
    <s v="No"/>
    <n v="4"/>
    <s v="Requires coaching"/>
  </r>
  <r>
    <x v="15"/>
    <x v="15"/>
    <x v="3"/>
    <x v="9"/>
    <s v="Bangalore"/>
    <d v="2026-02-16T00:00:00"/>
    <x v="2"/>
    <x v="0"/>
    <n v="7.9"/>
    <n v="0.9"/>
    <n v="17"/>
    <n v="8"/>
    <n v="22"/>
    <n v="0.77270000000000005"/>
    <n v="56032"/>
    <s v="No"/>
    <n v="4"/>
    <s v="On track with targets"/>
  </r>
  <r>
    <x v="15"/>
    <x v="15"/>
    <x v="3"/>
    <x v="9"/>
    <s v="Bangalore"/>
    <d v="2026-03-06T00:00:00"/>
    <x v="3"/>
    <x v="0"/>
    <n v="9.3000000000000007"/>
    <n v="0"/>
    <n v="27"/>
    <n v="8"/>
    <n v="22"/>
    <n v="1.2273000000000001"/>
    <n v="56032"/>
    <s v="Yes"/>
    <n v="4"/>
    <s v="On track with targets"/>
  </r>
  <r>
    <x v="16"/>
    <x v="16"/>
    <x v="3"/>
    <x v="10"/>
    <s v="Mumbai"/>
    <d v="2025-12-03T00:00:00"/>
    <x v="0"/>
    <x v="3"/>
    <n v="0"/>
    <n v="0"/>
    <n v="0"/>
    <n v="3"/>
    <n v="20"/>
    <n v="0"/>
    <n v="44990"/>
    <s v="No"/>
    <n v="2"/>
    <m/>
  </r>
  <r>
    <x v="16"/>
    <x v="16"/>
    <x v="3"/>
    <x v="10"/>
    <s v="Mumbai"/>
    <d v="2026-01-20T00:00:00"/>
    <x v="1"/>
    <x v="0"/>
    <n v="7.9"/>
    <n v="0.6"/>
    <n v="15"/>
    <n v="6"/>
    <n v="20"/>
    <n v="0.75"/>
    <n v="44990"/>
    <s v="No"/>
    <n v="4"/>
    <s v="Good performance"/>
  </r>
  <r>
    <x v="16"/>
    <x v="16"/>
    <x v="3"/>
    <x v="10"/>
    <s v="Mumbai"/>
    <d v="2026-02-13T00:00:00"/>
    <x v="2"/>
    <x v="0"/>
    <n v="8.5"/>
    <n v="0.1"/>
    <n v="20"/>
    <n v="9"/>
    <n v="20"/>
    <n v="1"/>
    <n v="44990"/>
    <s v="Yes"/>
    <n v="5"/>
    <s v="Requires coaching"/>
  </r>
  <r>
    <x v="16"/>
    <x v="16"/>
    <x v="3"/>
    <x v="10"/>
    <s v="Mumbai"/>
    <d v="2026-03-08T00:00:00"/>
    <x v="3"/>
    <x v="0"/>
    <n v="8.6999999999999993"/>
    <n v="0"/>
    <n v="15"/>
    <n v="8"/>
    <n v="20"/>
    <n v="0.75"/>
    <n v="44990"/>
    <s v="No"/>
    <n v="4"/>
    <m/>
  </r>
  <r>
    <x v="17"/>
    <x v="17"/>
    <x v="3"/>
    <x v="11"/>
    <s v="Bangalore"/>
    <d v="2025-12-20T00:00:00"/>
    <x v="0"/>
    <x v="0"/>
    <n v="8.3000000000000007"/>
    <n v="0.9"/>
    <n v="16"/>
    <n v="9"/>
    <n v="15"/>
    <n v="1.0667"/>
    <n v="81786"/>
    <s v="Yes"/>
    <n v="5"/>
    <s v="Strong team player"/>
  </r>
  <r>
    <x v="17"/>
    <x v="17"/>
    <x v="3"/>
    <x v="11"/>
    <s v="Bangalore"/>
    <d v="2026-01-19T00:00:00"/>
    <x v="1"/>
    <x v="0"/>
    <n v="8.1999999999999993"/>
    <n v="0.6"/>
    <n v="16"/>
    <n v="10"/>
    <n v="15"/>
    <n v="1.0667"/>
    <n v="81786"/>
    <s v="Yes"/>
    <n v="5"/>
    <s v="Consistent performer"/>
  </r>
  <r>
    <x v="17"/>
    <x v="17"/>
    <x v="3"/>
    <x v="11"/>
    <s v="Bangalore"/>
    <d v="2026-02-09T00:00:00"/>
    <x v="2"/>
    <x v="0"/>
    <n v="9.1"/>
    <n v="0.8"/>
    <n v="15"/>
    <n v="9"/>
    <n v="15"/>
    <n v="1"/>
    <n v="81786"/>
    <s v="Yes"/>
    <n v="5"/>
    <m/>
  </r>
  <r>
    <x v="17"/>
    <x v="17"/>
    <x v="3"/>
    <x v="11"/>
    <s v="Bangalore"/>
    <d v="2026-03-11T00:00:00"/>
    <x v="3"/>
    <x v="0"/>
    <n v="8.1999999999999993"/>
    <n v="0.9"/>
    <n v="14"/>
    <n v="7"/>
    <n v="15"/>
    <n v="0.93330000000000002"/>
    <n v="81786"/>
    <s v="No"/>
    <n v="5"/>
    <s v="Excellent work ethic"/>
  </r>
  <r>
    <x v="18"/>
    <x v="18"/>
    <x v="3"/>
    <x v="9"/>
    <s v="Chennai"/>
    <d v="2025-12-05T00:00:00"/>
    <x v="0"/>
    <x v="0"/>
    <n v="7.7"/>
    <n v="0"/>
    <n v="23"/>
    <n v="10"/>
    <n v="22"/>
    <n v="1.0455000000000001"/>
    <n v="54799"/>
    <s v="Yes"/>
    <n v="5"/>
    <s v="Needs improvement"/>
  </r>
  <r>
    <x v="18"/>
    <x v="18"/>
    <x v="3"/>
    <x v="9"/>
    <s v="Chennai"/>
    <d v="2026-01-15T00:00:00"/>
    <x v="1"/>
    <x v="0"/>
    <n v="8.6999999999999993"/>
    <n v="0.8"/>
    <n v="15"/>
    <n v="7"/>
    <n v="22"/>
    <n v="0.68179999999999996"/>
    <n v="54799"/>
    <s v="No"/>
    <n v="3"/>
    <m/>
  </r>
  <r>
    <x v="18"/>
    <x v="18"/>
    <x v="3"/>
    <x v="9"/>
    <s v="Chennai"/>
    <d v="2026-02-01T00:00:00"/>
    <x v="2"/>
    <x v="0"/>
    <n v="8.9"/>
    <n v="0.7"/>
    <n v="15"/>
    <n v="6"/>
    <n v="22"/>
    <n v="0.68179999999999996"/>
    <n v="54799"/>
    <s v="No"/>
    <n v="3"/>
    <s v="Requires coaching"/>
  </r>
  <r>
    <x v="18"/>
    <x v="18"/>
    <x v="3"/>
    <x v="9"/>
    <s v="Chennai"/>
    <d v="2026-03-04T00:00:00"/>
    <x v="3"/>
    <x v="0"/>
    <n v="8"/>
    <n v="0"/>
    <n v="20"/>
    <n v="9"/>
    <n v="22"/>
    <n v="0.90910000000000002"/>
    <n v="54799"/>
    <s v="Yes"/>
    <n v="4"/>
    <s v="Good performance"/>
  </r>
  <r>
    <x v="19"/>
    <x v="19"/>
    <x v="3"/>
    <x v="10"/>
    <s v="Bangalore"/>
    <d v="2025-12-17T00:00:00"/>
    <x v="0"/>
    <x v="0"/>
    <n v="8"/>
    <n v="1"/>
    <n v="13"/>
    <n v="4"/>
    <n v="22"/>
    <n v="0.59089999999999998"/>
    <n v="40262"/>
    <s v="No"/>
    <n v="2"/>
    <s v="Consistent performer"/>
  </r>
  <r>
    <x v="19"/>
    <x v="19"/>
    <x v="3"/>
    <x v="10"/>
    <s v="Bangalore"/>
    <d v="2026-01-29T00:00:00"/>
    <x v="1"/>
    <x v="0"/>
    <n v="8.1999999999999993"/>
    <n v="1.1000000000000001"/>
    <n v="25"/>
    <n v="10"/>
    <n v="22"/>
    <n v="1.1364000000000001"/>
    <n v="40262"/>
    <s v="Yes"/>
    <n v="5"/>
    <s v="Good performance"/>
  </r>
  <r>
    <x v="19"/>
    <x v="19"/>
    <x v="3"/>
    <x v="10"/>
    <s v="Bangalore"/>
    <d v="2026-02-12T00:00:00"/>
    <x v="2"/>
    <x v="0"/>
    <n v="8.3000000000000007"/>
    <n v="0"/>
    <n v="19"/>
    <n v="8"/>
    <n v="22"/>
    <n v="0.86360000000000003"/>
    <n v="40262"/>
    <s v="No"/>
    <n v="4"/>
    <s v="Frequent late coming"/>
  </r>
  <r>
    <x v="19"/>
    <x v="19"/>
    <x v="3"/>
    <x v="10"/>
    <s v="Bangalore"/>
    <d v="2026-03-27T00:00:00"/>
    <x v="3"/>
    <x v="0"/>
    <n v="7.8"/>
    <n v="1.3"/>
    <n v="25"/>
    <n v="10"/>
    <n v="22"/>
    <n v="1.1364000000000001"/>
    <n v="40262"/>
    <s v="Yes"/>
    <n v="5"/>
    <s v="Needs improvement"/>
  </r>
  <r>
    <x v="20"/>
    <x v="20"/>
    <x v="4"/>
    <x v="12"/>
    <s v="Chennai"/>
    <d v="2025-12-20T00:00:00"/>
    <x v="0"/>
    <x v="2"/>
    <n v="0"/>
    <n v="0"/>
    <n v="0"/>
    <n v="3"/>
    <n v="22"/>
    <n v="0"/>
    <n v="40881"/>
    <s v="No"/>
    <n v="1"/>
    <s v="Strong team player"/>
  </r>
  <r>
    <x v="20"/>
    <x v="20"/>
    <x v="4"/>
    <x v="12"/>
    <s v="Chennai"/>
    <d v="2026-01-17T00:00:00"/>
    <x v="1"/>
    <x v="0"/>
    <n v="8.4"/>
    <n v="0.8"/>
    <n v="19"/>
    <n v="7"/>
    <n v="22"/>
    <n v="0.86360000000000003"/>
    <n v="40881"/>
    <s v="No"/>
    <n v="4"/>
    <s v="On track with targets"/>
  </r>
  <r>
    <x v="20"/>
    <x v="20"/>
    <x v="4"/>
    <x v="12"/>
    <s v="Chennai"/>
    <d v="2026-02-10T00:00:00"/>
    <x v="2"/>
    <x v="3"/>
    <n v="0"/>
    <n v="0"/>
    <n v="0"/>
    <n v="3"/>
    <n v="22"/>
    <n v="0"/>
    <n v="40881"/>
    <s v="No"/>
    <n v="2"/>
    <m/>
  </r>
  <r>
    <x v="20"/>
    <x v="20"/>
    <x v="4"/>
    <x v="12"/>
    <s v="Chennai"/>
    <d v="2026-03-31T00:00:00"/>
    <x v="3"/>
    <x v="3"/>
    <n v="0"/>
    <n v="0"/>
    <n v="0"/>
    <n v="3"/>
    <n v="22"/>
    <n v="0"/>
    <n v="40881"/>
    <s v="No"/>
    <n v="3"/>
    <s v="Needs improvement"/>
  </r>
  <r>
    <x v="21"/>
    <x v="21"/>
    <x v="4"/>
    <x v="13"/>
    <s v="Pune"/>
    <d v="2025-12-04T00:00:00"/>
    <x v="0"/>
    <x v="3"/>
    <n v="0"/>
    <n v="0"/>
    <n v="0"/>
    <n v="1"/>
    <n v="15"/>
    <n v="0"/>
    <n v="73266"/>
    <s v="No"/>
    <n v="1"/>
    <m/>
  </r>
  <r>
    <x v="21"/>
    <x v="21"/>
    <x v="4"/>
    <x v="13"/>
    <s v="Pune"/>
    <d v="2026-01-18T00:00:00"/>
    <x v="1"/>
    <x v="0"/>
    <n v="8.4"/>
    <n v="3"/>
    <n v="11"/>
    <n v="6"/>
    <n v="15"/>
    <n v="0.73329999999999995"/>
    <n v="73266"/>
    <s v="No"/>
    <n v="3"/>
    <s v="Needs improvement"/>
  </r>
  <r>
    <x v="21"/>
    <x v="21"/>
    <x v="4"/>
    <x v="13"/>
    <s v="Pune"/>
    <d v="2026-02-20T00:00:00"/>
    <x v="2"/>
    <x v="0"/>
    <n v="7"/>
    <n v="0.3"/>
    <n v="11"/>
    <n v="7"/>
    <n v="15"/>
    <n v="0.73329999999999995"/>
    <n v="73266"/>
    <s v="No"/>
    <n v="4"/>
    <s v="Consistent performer"/>
  </r>
  <r>
    <x v="21"/>
    <x v="21"/>
    <x v="4"/>
    <x v="13"/>
    <s v="Pune"/>
    <d v="2026-03-07T00:00:00"/>
    <x v="3"/>
    <x v="1"/>
    <n v="9.4"/>
    <n v="1.8"/>
    <n v="11"/>
    <n v="6"/>
    <n v="15"/>
    <n v="0.73329999999999995"/>
    <n v="73266"/>
    <s v="No"/>
    <n v="3"/>
    <s v="Needs improvement"/>
  </r>
  <r>
    <x v="22"/>
    <x v="22"/>
    <x v="4"/>
    <x v="14"/>
    <s v="Delhi"/>
    <d v="2025-12-17T00:00:00"/>
    <x v="0"/>
    <x v="0"/>
    <n v="7.5"/>
    <n v="2.6"/>
    <n v="21"/>
    <n v="9"/>
    <n v="20"/>
    <n v="1.05"/>
    <n v="33143"/>
    <s v="Yes"/>
    <n v="3"/>
    <m/>
  </r>
  <r>
    <x v="22"/>
    <x v="22"/>
    <x v="4"/>
    <x v="14"/>
    <s v="Delhi"/>
    <d v="2026-01-03T00:00:00"/>
    <x v="1"/>
    <x v="0"/>
    <n v="9.1"/>
    <n v="0.7"/>
    <n v="21"/>
    <n v="7"/>
    <n v="20"/>
    <n v="1.05"/>
    <n v="33143"/>
    <s v="No"/>
    <n v="3"/>
    <s v="Needs improvement"/>
  </r>
  <r>
    <x v="22"/>
    <x v="22"/>
    <x v="4"/>
    <x v="14"/>
    <s v="Delhi"/>
    <d v="2026-02-02T00:00:00"/>
    <x v="2"/>
    <x v="0"/>
    <n v="8.3000000000000007"/>
    <n v="0.8"/>
    <n v="15"/>
    <n v="8"/>
    <n v="20"/>
    <n v="0.75"/>
    <n v="33143"/>
    <s v="No"/>
    <n v="3"/>
    <m/>
  </r>
  <r>
    <x v="22"/>
    <x v="22"/>
    <x v="4"/>
    <x v="14"/>
    <s v="Delhi"/>
    <d v="2026-03-21T00:00:00"/>
    <x v="3"/>
    <x v="2"/>
    <n v="0"/>
    <n v="0"/>
    <n v="0"/>
    <n v="2"/>
    <n v="20"/>
    <n v="0"/>
    <n v="33143"/>
    <s v="No"/>
    <n v="1"/>
    <m/>
  </r>
  <r>
    <x v="23"/>
    <x v="23"/>
    <x v="4"/>
    <x v="12"/>
    <s v="Chennai"/>
    <d v="2025-12-24T00:00:00"/>
    <x v="0"/>
    <x v="0"/>
    <n v="8.6"/>
    <n v="1.5"/>
    <n v="16"/>
    <n v="4"/>
    <n v="25"/>
    <n v="0.64"/>
    <n v="38509"/>
    <s v="No"/>
    <n v="3"/>
    <m/>
  </r>
  <r>
    <x v="23"/>
    <x v="23"/>
    <x v="4"/>
    <x v="12"/>
    <s v="Chennai"/>
    <d v="2026-01-14T00:00:00"/>
    <x v="1"/>
    <x v="0"/>
    <n v="8.5"/>
    <n v="0.1"/>
    <n v="28"/>
    <n v="10"/>
    <n v="25"/>
    <n v="1.1200000000000001"/>
    <n v="38509"/>
    <s v="Yes"/>
    <n v="5"/>
    <m/>
  </r>
  <r>
    <x v="23"/>
    <x v="23"/>
    <x v="4"/>
    <x v="12"/>
    <s v="Chennai"/>
    <d v="2026-02-03T00:00:00"/>
    <x v="2"/>
    <x v="3"/>
    <n v="0"/>
    <n v="0"/>
    <n v="0"/>
    <n v="2"/>
    <n v="25"/>
    <n v="0"/>
    <n v="38509"/>
    <s v="No"/>
    <n v="2"/>
    <m/>
  </r>
  <r>
    <x v="23"/>
    <x v="23"/>
    <x v="4"/>
    <x v="12"/>
    <s v="Chennai"/>
    <d v="2026-03-29T00:00:00"/>
    <x v="3"/>
    <x v="0"/>
    <n v="9.4"/>
    <n v="0.6"/>
    <n v="26"/>
    <n v="10"/>
    <n v="25"/>
    <n v="1.04"/>
    <n v="38509"/>
    <s v="Yes"/>
    <n v="5"/>
    <m/>
  </r>
  <r>
    <x v="24"/>
    <x v="24"/>
    <x v="4"/>
    <x v="13"/>
    <s v="Bangalore"/>
    <d v="2025-12-27T00:00:00"/>
    <x v="0"/>
    <x v="0"/>
    <n v="7.7"/>
    <n v="1.5"/>
    <n v="16"/>
    <n v="7"/>
    <n v="15"/>
    <n v="1.0667"/>
    <n v="72174"/>
    <s v="No"/>
    <n v="3"/>
    <s v="On track with targets"/>
  </r>
  <r>
    <x v="24"/>
    <x v="24"/>
    <x v="4"/>
    <x v="13"/>
    <s v="Bangalore"/>
    <d v="2026-01-05T00:00:00"/>
    <x v="1"/>
    <x v="0"/>
    <n v="7.1"/>
    <n v="0.5"/>
    <n v="15"/>
    <n v="10"/>
    <n v="15"/>
    <n v="1"/>
    <n v="72174"/>
    <s v="Yes"/>
    <n v="5"/>
    <m/>
  </r>
  <r>
    <x v="24"/>
    <x v="24"/>
    <x v="4"/>
    <x v="13"/>
    <s v="Bangalore"/>
    <d v="2026-02-10T00:00:00"/>
    <x v="2"/>
    <x v="0"/>
    <n v="9.3000000000000007"/>
    <n v="0"/>
    <n v="8"/>
    <n v="6"/>
    <n v="15"/>
    <n v="0.5333"/>
    <n v="72174"/>
    <s v="No"/>
    <n v="3"/>
    <m/>
  </r>
  <r>
    <x v="24"/>
    <x v="24"/>
    <x v="4"/>
    <x v="13"/>
    <s v="Bangalore"/>
    <d v="2026-03-29T00:00:00"/>
    <x v="3"/>
    <x v="0"/>
    <n v="8.3000000000000007"/>
    <n v="0"/>
    <n v="13"/>
    <n v="6"/>
    <n v="15"/>
    <n v="0.86670000000000003"/>
    <n v="72174"/>
    <s v="No"/>
    <n v="3"/>
    <s v="Strong team player"/>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s v="Liam Smith"/>
    <s v="IT"/>
    <s v="Software Engineer"/>
    <s v="Manish Sharma"/>
    <n v="1"/>
    <n v="1"/>
    <n v="0"/>
    <n v="0"/>
    <n v="0"/>
    <n v="4"/>
    <x v="0"/>
    <x v="0"/>
    <x v="0"/>
  </r>
  <r>
    <x v="1"/>
    <s v="Emma Smith"/>
    <s v="HR"/>
    <s v="HR Executive"/>
    <s v="Anita Desai"/>
    <n v="1"/>
    <n v="1"/>
    <n v="0"/>
    <n v="0"/>
    <n v="0.5"/>
    <n v="4.88"/>
    <x v="0"/>
    <x v="0"/>
    <x v="0"/>
  </r>
  <r>
    <x v="2"/>
    <s v="Noah Smith"/>
    <s v="Finance"/>
    <s v="Accountant"/>
    <s v="Suresh Kumar"/>
    <n v="0"/>
    <n v="0"/>
    <n v="1"/>
    <n v="0"/>
    <n v="0"/>
    <n v="3.12"/>
    <x v="1"/>
    <x v="0"/>
    <x v="1"/>
  </r>
  <r>
    <x v="3"/>
    <s v="Olivia Smith"/>
    <s v="Operations"/>
    <s v="Operations Associate"/>
    <s v="Meera Nair"/>
    <n v="1"/>
    <n v="1"/>
    <n v="0"/>
    <n v="0"/>
    <n v="0"/>
    <n v="4"/>
    <x v="0"/>
    <x v="0"/>
    <x v="0"/>
  </r>
  <r>
    <x v="4"/>
    <s v="Oliver Smith"/>
    <s v="IT"/>
    <s v="Team Lead"/>
    <s v="Manish Sharma"/>
    <n v="1"/>
    <n v="1"/>
    <n v="0"/>
    <n v="0"/>
    <n v="0"/>
    <n v="2.34"/>
    <x v="0"/>
    <x v="1"/>
    <x v="2"/>
  </r>
  <r>
    <x v="5"/>
    <s v="Ava Smith"/>
    <s v="HR"/>
    <s v="HR Manager"/>
    <s v="Anita Desai"/>
    <n v="1"/>
    <n v="1"/>
    <n v="0"/>
    <n v="0"/>
    <n v="0"/>
    <n v="4.66"/>
    <x v="0"/>
    <x v="0"/>
    <x v="0"/>
  </r>
  <r>
    <x v="6"/>
    <s v="Elijah Smith"/>
    <s v="Finance"/>
    <s v="Financial Analyst"/>
    <s v="Suresh Kumar"/>
    <n v="1"/>
    <n v="1"/>
    <n v="0"/>
    <n v="0"/>
    <n v="1"/>
    <n v="3.78"/>
    <x v="0"/>
    <x v="0"/>
    <x v="0"/>
  </r>
  <r>
    <x v="7"/>
    <s v="Sophia Smith"/>
    <s v="Operations"/>
    <s v="Operations Manager"/>
    <s v="Meera Nair"/>
    <n v="1"/>
    <n v="1"/>
    <n v="0"/>
    <n v="0"/>
    <n v="0"/>
    <n v="3.34"/>
    <x v="0"/>
    <x v="0"/>
    <x v="0"/>
  </r>
  <r>
    <x v="8"/>
    <s v="William Smith"/>
    <s v="IT"/>
    <s v="Software Engineer"/>
    <s v="Manish Sharma"/>
    <n v="0"/>
    <n v="0"/>
    <n v="0"/>
    <n v="0"/>
    <n v="0"/>
    <n v="4.24"/>
    <x v="1"/>
    <x v="0"/>
    <x v="1"/>
  </r>
  <r>
    <x v="9"/>
    <s v="Isabella Smith"/>
    <s v="Finance"/>
    <s v="Accountant"/>
    <s v="Suresh Kumar"/>
    <n v="1"/>
    <n v="1"/>
    <n v="0"/>
    <n v="0"/>
    <n v="0"/>
    <n v="4.88"/>
    <x v="0"/>
    <x v="0"/>
    <x v="0"/>
  </r>
  <r>
    <x v="10"/>
    <s v="Liam Johnson"/>
    <s v="IT"/>
    <s v="Software Engineer"/>
    <s v="Manish Sharma"/>
    <n v="1"/>
    <n v="1"/>
    <n v="0"/>
    <n v="0"/>
    <n v="0"/>
    <n v="2.88"/>
    <x v="0"/>
    <x v="1"/>
    <x v="2"/>
  </r>
  <r>
    <x v="11"/>
    <s v="Emma Johnson"/>
    <s v="HR"/>
    <s v="HR Executive"/>
    <s v="Anita Desai"/>
    <n v="1"/>
    <n v="1"/>
    <n v="0"/>
    <n v="0"/>
    <n v="0"/>
    <n v="4"/>
    <x v="0"/>
    <x v="0"/>
    <x v="0"/>
  </r>
  <r>
    <x v="12"/>
    <s v="Noah Johnson"/>
    <s v="Finance"/>
    <s v="Accountant"/>
    <s v="Suresh Kumar"/>
    <n v="1"/>
    <n v="1"/>
    <n v="0"/>
    <n v="0"/>
    <n v="0"/>
    <n v="4.66"/>
    <x v="0"/>
    <x v="0"/>
    <x v="0"/>
  </r>
  <r>
    <x v="13"/>
    <s v="Olivia Johnson"/>
    <s v="Operations"/>
    <s v="Operations Associate"/>
    <s v="Meera Nair"/>
    <n v="0"/>
    <n v="0"/>
    <n v="1"/>
    <n v="0"/>
    <n v="0"/>
    <n v="2.12"/>
    <x v="1"/>
    <x v="1"/>
    <x v="3"/>
  </r>
  <r>
    <x v="14"/>
    <s v="Oliver Johnson"/>
    <s v="IT"/>
    <s v="Team Lead"/>
    <s v="Manish Sharma"/>
    <n v="1"/>
    <n v="1"/>
    <n v="0"/>
    <n v="0"/>
    <n v="0"/>
    <n v="3.66"/>
    <x v="0"/>
    <x v="0"/>
    <x v="0"/>
  </r>
  <r>
    <x v="15"/>
    <s v="Ava Johnson"/>
    <s v="HR"/>
    <s v="HR Manager"/>
    <s v="Anita Desai"/>
    <n v="1"/>
    <n v="1"/>
    <n v="0"/>
    <n v="0"/>
    <n v="0"/>
    <n v="3.46"/>
    <x v="0"/>
    <x v="0"/>
    <x v="0"/>
  </r>
  <r>
    <x v="16"/>
    <s v="Elijah Johnson"/>
    <s v="Finance"/>
    <s v="Financial Analyst"/>
    <s v="Suresh Kumar"/>
    <n v="1"/>
    <n v="1"/>
    <n v="0"/>
    <n v="0"/>
    <n v="0"/>
    <n v="5"/>
    <x v="0"/>
    <x v="0"/>
    <x v="0"/>
  </r>
  <r>
    <x v="17"/>
    <s v="Sophia Johnson"/>
    <s v="Operations"/>
    <s v="Operations Manager"/>
    <s v="Meera Nair"/>
    <n v="1"/>
    <n v="1"/>
    <n v="0"/>
    <n v="0"/>
    <n v="0"/>
    <n v="3.88"/>
    <x v="0"/>
    <x v="0"/>
    <x v="0"/>
  </r>
  <r>
    <x v="18"/>
    <s v="William Johnson"/>
    <s v="IT"/>
    <s v="Software Engineer"/>
    <s v="Manish Sharma"/>
    <n v="1"/>
    <n v="1"/>
    <n v="0"/>
    <n v="0"/>
    <n v="0"/>
    <n v="3"/>
    <x v="0"/>
    <x v="0"/>
    <x v="0"/>
  </r>
  <r>
    <x v="19"/>
    <s v="Isabella Johnson"/>
    <s v="Finance"/>
    <s v="Accountant"/>
    <s v="Suresh Kumar"/>
    <n v="1"/>
    <n v="1"/>
    <n v="0"/>
    <n v="0"/>
    <n v="0"/>
    <n v="4.12"/>
    <x v="0"/>
    <x v="0"/>
    <x v="0"/>
  </r>
  <r>
    <x v="20"/>
    <s v="Liam Williams"/>
    <s v="IT"/>
    <s v="Software Engineer"/>
    <s v="Manish Sharma"/>
    <n v="1"/>
    <n v="1"/>
    <n v="0"/>
    <n v="0"/>
    <n v="0"/>
    <n v="4.54"/>
    <x v="0"/>
    <x v="0"/>
    <x v="0"/>
  </r>
  <r>
    <x v="21"/>
    <s v="Emma Williams"/>
    <s v="HR"/>
    <s v="HR Executive"/>
    <s v="Anita Desai"/>
    <n v="1"/>
    <n v="1"/>
    <n v="0"/>
    <n v="0"/>
    <n v="0"/>
    <n v="3.12"/>
    <x v="0"/>
    <x v="0"/>
    <x v="0"/>
  </r>
  <r>
    <x v="22"/>
    <s v="Noah Williams"/>
    <s v="Finance"/>
    <s v="Accountant"/>
    <s v="Suresh Kumar"/>
    <n v="1"/>
    <n v="1"/>
    <n v="0"/>
    <n v="0"/>
    <n v="0"/>
    <n v="4"/>
    <x v="0"/>
    <x v="0"/>
    <x v="0"/>
  </r>
  <r>
    <x v="23"/>
    <s v="Olivia Williams"/>
    <s v="Operations"/>
    <s v="Operations Associate"/>
    <s v="Meera Nair"/>
    <n v="0"/>
    <n v="0"/>
    <n v="0"/>
    <n v="0"/>
    <n v="0"/>
    <n v="2.2200000000000002"/>
    <x v="1"/>
    <x v="1"/>
    <x v="3"/>
  </r>
  <r>
    <x v="24"/>
    <s v="Oliver Williams"/>
    <s v="IT"/>
    <s v="Team Lead"/>
    <s v="Manish Sharma"/>
    <n v="1"/>
    <n v="1"/>
    <n v="0"/>
    <n v="0"/>
    <n v="0"/>
    <n v="5"/>
    <x v="0"/>
    <x v="0"/>
    <x v="0"/>
  </r>
  <r>
    <x v="25"/>
    <s v="Ava Williams"/>
    <s v="HR"/>
    <s v="HR Manager"/>
    <s v="Anita Desai"/>
    <n v="1"/>
    <n v="1"/>
    <n v="0"/>
    <n v="0"/>
    <n v="0"/>
    <n v="3.76"/>
    <x v="0"/>
    <x v="0"/>
    <x v="0"/>
  </r>
  <r>
    <x v="26"/>
    <s v="Elijah Williams"/>
    <s v="Finance"/>
    <s v="Financial Analyst"/>
    <s v="Suresh Kumar"/>
    <n v="1"/>
    <n v="1"/>
    <n v="0"/>
    <n v="0"/>
    <n v="0"/>
    <n v="3"/>
    <x v="0"/>
    <x v="0"/>
    <x v="0"/>
  </r>
  <r>
    <x v="27"/>
    <s v="Sophia Williams"/>
    <s v="Operations"/>
    <s v="Operations Manager"/>
    <s v="Meera Nair"/>
    <n v="1"/>
    <n v="1"/>
    <n v="0"/>
    <n v="0"/>
    <n v="2"/>
    <n v="4"/>
    <x v="0"/>
    <x v="0"/>
    <x v="0"/>
  </r>
  <r>
    <x v="28"/>
    <s v="William Williams"/>
    <s v="IT"/>
    <s v="Software Engineer"/>
    <s v="Manish Sharma"/>
    <n v="1"/>
    <n v="1"/>
    <n v="0"/>
    <n v="0"/>
    <n v="0"/>
    <n v="4.66"/>
    <x v="0"/>
    <x v="0"/>
    <x v="0"/>
  </r>
  <r>
    <x v="29"/>
    <s v="Isabella Williams"/>
    <s v="Finance"/>
    <s v="Accountant"/>
    <s v="Suresh Kumar"/>
    <n v="1"/>
    <n v="1"/>
    <n v="0"/>
    <n v="0"/>
    <n v="0"/>
    <n v="2"/>
    <x v="0"/>
    <x v="1"/>
    <x v="2"/>
  </r>
  <r>
    <x v="30"/>
    <s v="Liam Brown"/>
    <s v="IT"/>
    <s v="Software Engineer"/>
    <s v="Manish Sharma"/>
    <n v="1"/>
    <n v="1"/>
    <n v="0"/>
    <n v="0"/>
    <n v="0"/>
    <n v="4.24"/>
    <x v="0"/>
    <x v="0"/>
    <x v="0"/>
  </r>
  <r>
    <x v="31"/>
    <s v="Emma Brown"/>
    <s v="HR"/>
    <s v="HR Executive"/>
    <s v="Anita Desai"/>
    <n v="1"/>
    <n v="1"/>
    <n v="0"/>
    <n v="0"/>
    <n v="0"/>
    <n v="3.22"/>
    <x v="0"/>
    <x v="0"/>
    <x v="0"/>
  </r>
  <r>
    <x v="32"/>
    <s v="Noah Brown"/>
    <s v="Finance"/>
    <s v="Accountant"/>
    <s v="Suresh Kumar"/>
    <n v="1"/>
    <n v="1"/>
    <n v="0"/>
    <n v="0"/>
    <n v="0"/>
    <n v="5"/>
    <x v="0"/>
    <x v="0"/>
    <x v="0"/>
  </r>
  <r>
    <x v="33"/>
    <s v="Olivia Brown"/>
    <s v="Operations"/>
    <s v="Operations Associate"/>
    <s v="Meera Nair"/>
    <n v="1"/>
    <n v="1"/>
    <n v="0"/>
    <n v="0"/>
    <n v="0"/>
    <n v="4"/>
    <x v="0"/>
    <x v="0"/>
    <x v="0"/>
  </r>
  <r>
    <x v="34"/>
    <s v="Oliver Brown"/>
    <s v="IT"/>
    <s v="Team Lead"/>
    <s v="Manish Sharma"/>
    <n v="1"/>
    <n v="1"/>
    <n v="0"/>
    <n v="0"/>
    <n v="0"/>
    <n v="2.76"/>
    <x v="0"/>
    <x v="1"/>
    <x v="2"/>
  </r>
  <r>
    <x v="35"/>
    <s v="Ava Brown"/>
    <s v="HR"/>
    <s v="HR Manager"/>
    <s v="Anita Desai"/>
    <n v="1"/>
    <n v="1"/>
    <n v="0"/>
    <n v="0"/>
    <n v="0"/>
    <n v="4"/>
    <x v="0"/>
    <x v="0"/>
    <x v="0"/>
  </r>
  <r>
    <x v="36"/>
    <s v="Elijah Brown"/>
    <s v="Finance"/>
    <s v="Financial Analyst"/>
    <s v="Suresh Kumar"/>
    <n v="1"/>
    <n v="1"/>
    <n v="0"/>
    <n v="0"/>
    <n v="0"/>
    <n v="4.66"/>
    <x v="0"/>
    <x v="0"/>
    <x v="0"/>
  </r>
  <r>
    <x v="37"/>
    <s v="Sophia Brown"/>
    <s v="Operations"/>
    <s v="Operations Manager"/>
    <s v="Meera Nair"/>
    <n v="1"/>
    <n v="1"/>
    <n v="0"/>
    <n v="0"/>
    <n v="0"/>
    <n v="3"/>
    <x v="0"/>
    <x v="0"/>
    <x v="0"/>
  </r>
  <r>
    <x v="38"/>
    <s v="William Brown"/>
    <s v="IT"/>
    <s v="Software Engineer"/>
    <s v="Manish Sharma"/>
    <n v="1"/>
    <n v="1"/>
    <n v="0"/>
    <n v="0"/>
    <n v="0"/>
    <n v="4.12"/>
    <x v="0"/>
    <x v="0"/>
    <x v="0"/>
  </r>
  <r>
    <x v="39"/>
    <s v="Isabella Brown"/>
    <s v="Finance"/>
    <s v="Accountant"/>
    <s v="Suresh Kumar"/>
    <n v="1"/>
    <n v="1"/>
    <n v="0"/>
    <n v="0"/>
    <n v="0"/>
    <n v="5"/>
    <x v="0"/>
    <x v="0"/>
    <x v="0"/>
  </r>
  <r>
    <x v="40"/>
    <s v="Liam Jones"/>
    <s v="IT"/>
    <s v="Software Engineer"/>
    <s v="Manish Sharma"/>
    <n v="1"/>
    <n v="1"/>
    <n v="0"/>
    <n v="0"/>
    <n v="0"/>
    <n v="2.34"/>
    <x v="0"/>
    <x v="1"/>
    <x v="2"/>
  </r>
  <r>
    <x v="41"/>
    <s v="Emma Jones"/>
    <s v="HR"/>
    <s v="HR Executive"/>
    <s v="Anita Desai"/>
    <n v="1"/>
    <n v="1"/>
    <n v="0"/>
    <n v="0"/>
    <n v="0"/>
    <n v="4"/>
    <x v="0"/>
    <x v="0"/>
    <x v="0"/>
  </r>
  <r>
    <x v="42"/>
    <s v="Noah Jones"/>
    <s v="Finance"/>
    <s v="Accountant"/>
    <s v="Suresh Kumar"/>
    <n v="1"/>
    <n v="1"/>
    <n v="0"/>
    <n v="0"/>
    <n v="0"/>
    <n v="4.66"/>
    <x v="0"/>
    <x v="0"/>
    <x v="0"/>
  </r>
  <r>
    <x v="43"/>
    <s v="Olivia Jones"/>
    <s v="Operations"/>
    <s v="Operations Associate"/>
    <s v="Meera Nair"/>
    <n v="1"/>
    <n v="1"/>
    <n v="0"/>
    <n v="0"/>
    <n v="0"/>
    <n v="3.22"/>
    <x v="0"/>
    <x v="0"/>
    <x v="0"/>
  </r>
  <r>
    <x v="44"/>
    <s v="Oliver Jones"/>
    <s v="IT"/>
    <s v="Team Lead"/>
    <s v="Manish Sharma"/>
    <n v="1"/>
    <n v="1"/>
    <n v="0"/>
    <n v="0"/>
    <n v="0"/>
    <n v="4"/>
    <x v="0"/>
    <x v="0"/>
    <x v="0"/>
  </r>
  <r>
    <x v="45"/>
    <s v="Ava Jones"/>
    <s v="HR"/>
    <s v="HR Manager"/>
    <s v="Anita Desai"/>
    <n v="1"/>
    <n v="1"/>
    <n v="0"/>
    <n v="0"/>
    <n v="0"/>
    <n v="5"/>
    <x v="0"/>
    <x v="0"/>
    <x v="0"/>
  </r>
  <r>
    <x v="46"/>
    <s v="Elijah Jones"/>
    <s v="Finance"/>
    <s v="Financial Analyst"/>
    <s v="Suresh Kumar"/>
    <n v="1"/>
    <n v="1"/>
    <n v="0"/>
    <n v="0"/>
    <n v="0"/>
    <n v="2"/>
    <x v="0"/>
    <x v="1"/>
    <x v="2"/>
  </r>
  <r>
    <x v="47"/>
    <s v="Sophia Jones"/>
    <s v="Operations"/>
    <s v="Operations Manager"/>
    <s v="Meera Nair"/>
    <n v="1"/>
    <n v="1"/>
    <n v="0"/>
    <n v="0"/>
    <n v="0"/>
    <n v="3.66"/>
    <x v="0"/>
    <x v="0"/>
    <x v="0"/>
  </r>
  <r>
    <x v="48"/>
    <s v="William Jones"/>
    <s v="IT"/>
    <s v="Software Engineer"/>
    <s v="Manish Sharma"/>
    <n v="1"/>
    <n v="1"/>
    <n v="0"/>
    <n v="0"/>
    <n v="0"/>
    <n v="3.34"/>
    <x v="0"/>
    <x v="0"/>
    <x v="0"/>
  </r>
  <r>
    <x v="49"/>
    <s v="Isabella Jones"/>
    <s v="Finance"/>
    <s v="Accountant"/>
    <s v="Suresh Kumar"/>
    <n v="1"/>
    <n v="1"/>
    <n v="0"/>
    <n v="0"/>
    <n v="0"/>
    <n v="4"/>
    <x v="0"/>
    <x v="0"/>
    <x v="0"/>
  </r>
  <r>
    <x v="50"/>
    <s v="Liam Garcia"/>
    <s v="IT"/>
    <s v="Software Engineer"/>
    <s v="Manish Sharma"/>
    <n v="1"/>
    <n v="1"/>
    <n v="0"/>
    <n v="0"/>
    <n v="0"/>
    <n v="4.66"/>
    <x v="0"/>
    <x v="0"/>
    <x v="0"/>
  </r>
  <r>
    <x v="51"/>
    <s v="Emma Garcia"/>
    <s v="HR"/>
    <s v="HR Executive"/>
    <s v="Anita Desai"/>
    <n v="1"/>
    <n v="1"/>
    <n v="0"/>
    <n v="0"/>
    <n v="0"/>
    <n v="3"/>
    <x v="0"/>
    <x v="0"/>
    <x v="0"/>
  </r>
  <r>
    <x v="52"/>
    <s v="Noah Garcia"/>
    <s v="Finance"/>
    <s v="Accountant"/>
    <s v="Suresh Kumar"/>
    <n v="1"/>
    <n v="1"/>
    <n v="0"/>
    <n v="0"/>
    <n v="0"/>
    <n v="4.24"/>
    <x v="0"/>
    <x v="0"/>
    <x v="0"/>
  </r>
  <r>
    <x v="53"/>
    <s v="Olivia Garcia"/>
    <s v="Operations"/>
    <s v="Operations Associate"/>
    <s v="Meera Nair"/>
    <n v="1"/>
    <n v="1"/>
    <n v="0"/>
    <n v="0"/>
    <n v="0"/>
    <n v="5"/>
    <x v="0"/>
    <x v="0"/>
    <x v="0"/>
  </r>
  <r>
    <x v="54"/>
    <s v="Oliver Garcia"/>
    <s v="IT"/>
    <s v="Team Lead"/>
    <s v="Manish Sharma"/>
    <n v="0"/>
    <n v="0"/>
    <n v="1"/>
    <n v="0"/>
    <n v="0"/>
    <n v="2.34"/>
    <x v="1"/>
    <x v="1"/>
    <x v="3"/>
  </r>
  <r>
    <x v="55"/>
    <s v="Ava Garcia"/>
    <s v="HR"/>
    <s v="HR Manager"/>
    <s v="Anita Desai"/>
    <n v="1"/>
    <n v="1"/>
    <n v="0"/>
    <n v="0"/>
    <n v="1"/>
    <n v="4"/>
    <x v="0"/>
    <x v="0"/>
    <x v="0"/>
  </r>
  <r>
    <x v="56"/>
    <s v="Elijah Garcia"/>
    <s v="Finance"/>
    <s v="Financial Analyst"/>
    <s v="Suresh Kumar"/>
    <n v="1"/>
    <n v="1"/>
    <n v="0"/>
    <n v="0"/>
    <n v="0"/>
    <n v="4.66"/>
    <x v="0"/>
    <x v="0"/>
    <x v="0"/>
  </r>
  <r>
    <x v="57"/>
    <s v="Sophia Garcia"/>
    <s v="Operations"/>
    <s v="Operations Manager"/>
    <s v="Meera Nair"/>
    <n v="1"/>
    <n v="1"/>
    <n v="0"/>
    <n v="0"/>
    <n v="0"/>
    <n v="3.22"/>
    <x v="0"/>
    <x v="0"/>
    <x v="0"/>
  </r>
  <r>
    <x v="58"/>
    <s v="William Garcia"/>
    <s v="IT"/>
    <s v="Software Engineer"/>
    <s v="Manish Sharma"/>
    <n v="1"/>
    <n v="1"/>
    <n v="0"/>
    <n v="0"/>
    <n v="0"/>
    <n v="4"/>
    <x v="0"/>
    <x v="0"/>
    <x v="0"/>
  </r>
  <r>
    <x v="59"/>
    <s v="Isabella Garcia"/>
    <s v="Finance"/>
    <s v="Accountant"/>
    <s v="Suresh Kumar"/>
    <n v="1"/>
    <n v="1"/>
    <n v="0"/>
    <n v="0"/>
    <n v="0"/>
    <n v="5"/>
    <x v="0"/>
    <x v="0"/>
    <x v="0"/>
  </r>
  <r>
    <x v="60"/>
    <s v="Liam Miller"/>
    <s v="IT"/>
    <s v="Software Engineer"/>
    <s v="Manish Sharma"/>
    <n v="1"/>
    <n v="1"/>
    <n v="0"/>
    <n v="0"/>
    <n v="0"/>
    <n v="2"/>
    <x v="0"/>
    <x v="1"/>
    <x v="2"/>
  </r>
  <r>
    <x v="61"/>
    <s v="Emma Miller"/>
    <s v="HR"/>
    <s v="HR Executive"/>
    <s v="Anita Desai"/>
    <n v="1"/>
    <n v="1"/>
    <n v="0"/>
    <n v="0"/>
    <n v="0"/>
    <n v="3.66"/>
    <x v="0"/>
    <x v="0"/>
    <x v="0"/>
  </r>
  <r>
    <x v="62"/>
    <s v="Noah Miller"/>
    <s v="Finance"/>
    <s v="Accountant"/>
    <s v="Suresh Kumar"/>
    <n v="1"/>
    <n v="1"/>
    <n v="0"/>
    <n v="0"/>
    <n v="0"/>
    <n v="3.34"/>
    <x v="0"/>
    <x v="0"/>
    <x v="0"/>
  </r>
  <r>
    <x v="63"/>
    <s v="Olivia Miller"/>
    <s v="Operations"/>
    <s v="Operations Associate"/>
    <s v="Meera Nair"/>
    <n v="1"/>
    <n v="1"/>
    <n v="0"/>
    <n v="0"/>
    <n v="0"/>
    <n v="4"/>
    <x v="0"/>
    <x v="0"/>
    <x v="0"/>
  </r>
  <r>
    <x v="64"/>
    <s v="Oliver Miller"/>
    <s v="IT"/>
    <s v="Team Lead"/>
    <s v="Manish Sharma"/>
    <n v="1"/>
    <n v="1"/>
    <n v="0"/>
    <n v="0"/>
    <n v="0"/>
    <n v="4.66"/>
    <x v="0"/>
    <x v="0"/>
    <x v="0"/>
  </r>
  <r>
    <x v="65"/>
    <s v="Ava Miller"/>
    <s v="HR"/>
    <s v="HR Manager"/>
    <s v="Anita Desai"/>
    <n v="1"/>
    <n v="1"/>
    <n v="0"/>
    <n v="0"/>
    <n v="0"/>
    <n v="3"/>
    <x v="0"/>
    <x v="0"/>
    <x v="0"/>
  </r>
  <r>
    <x v="66"/>
    <s v="Elijah Miller"/>
    <s v="Finance"/>
    <s v="Financial Analyst"/>
    <s v="Suresh Kumar"/>
    <n v="1"/>
    <n v="1"/>
    <n v="0"/>
    <n v="0"/>
    <n v="0"/>
    <n v="4.24"/>
    <x v="0"/>
    <x v="0"/>
    <x v="0"/>
  </r>
  <r>
    <x v="67"/>
    <s v="Sophia Miller"/>
    <s v="Operations"/>
    <s v="Operations Manager"/>
    <s v="Meera Nair"/>
    <n v="1"/>
    <n v="1"/>
    <n v="0"/>
    <n v="0"/>
    <n v="0"/>
    <n v="5"/>
    <x v="0"/>
    <x v="0"/>
    <x v="0"/>
  </r>
  <r>
    <x v="68"/>
    <s v="William Miller"/>
    <s v="IT"/>
    <s v="Software Engineer"/>
    <s v="Manish Sharma"/>
    <n v="1"/>
    <n v="1"/>
    <n v="0"/>
    <n v="0"/>
    <n v="0"/>
    <n v="2.34"/>
    <x v="0"/>
    <x v="1"/>
    <x v="2"/>
  </r>
  <r>
    <x v="69"/>
    <s v="Isabella Miller"/>
    <s v="Finance"/>
    <s v="Accountant"/>
    <s v="Suresh Kumar"/>
    <n v="1"/>
    <n v="1"/>
    <n v="0"/>
    <n v="0"/>
    <n v="0"/>
    <n v="4"/>
    <x v="0"/>
    <x v="0"/>
    <x v="0"/>
  </r>
  <r>
    <x v="70"/>
    <s v="Liam Davis"/>
    <s v="IT"/>
    <s v="Software Engineer"/>
    <s v="Manish Sharma"/>
    <n v="1"/>
    <n v="1"/>
    <n v="0"/>
    <n v="0"/>
    <n v="0"/>
    <n v="4.66"/>
    <x v="0"/>
    <x v="0"/>
    <x v="0"/>
  </r>
  <r>
    <x v="71"/>
    <s v="Emma Davis"/>
    <s v="HR"/>
    <s v="HR Executive"/>
    <s v="Anita Desai"/>
    <n v="1"/>
    <n v="1"/>
    <n v="0"/>
    <n v="0"/>
    <n v="0"/>
    <n v="3.22"/>
    <x v="0"/>
    <x v="0"/>
    <x v="0"/>
  </r>
  <r>
    <x v="72"/>
    <s v="Noah Davis"/>
    <s v="Finance"/>
    <s v="Accountant"/>
    <s v="Suresh Kumar"/>
    <n v="1"/>
    <n v="1"/>
    <n v="0"/>
    <n v="0"/>
    <n v="0"/>
    <n v="4"/>
    <x v="0"/>
    <x v="0"/>
    <x v="0"/>
  </r>
  <r>
    <x v="73"/>
    <s v="Olivia Davis"/>
    <s v="Operations"/>
    <s v="Operations Associate"/>
    <s v="Meera Nair"/>
    <n v="1"/>
    <n v="1"/>
    <n v="0"/>
    <n v="0"/>
    <n v="0"/>
    <n v="5"/>
    <x v="0"/>
    <x v="0"/>
    <x v="0"/>
  </r>
  <r>
    <x v="74"/>
    <s v="Oliver Davis"/>
    <s v="IT"/>
    <s v="Team Lead"/>
    <s v="Manish Sharma"/>
    <n v="1"/>
    <n v="1"/>
    <n v="0"/>
    <n v="0"/>
    <n v="0"/>
    <n v="2"/>
    <x v="0"/>
    <x v="1"/>
    <x v="2"/>
  </r>
  <r>
    <x v="75"/>
    <s v="Ava Davis"/>
    <s v="HR"/>
    <s v="HR Manager"/>
    <s v="Anita Desai"/>
    <n v="1"/>
    <n v="1"/>
    <n v="0"/>
    <n v="0"/>
    <n v="0"/>
    <n v="3.66"/>
    <x v="0"/>
    <x v="0"/>
    <x v="0"/>
  </r>
  <r>
    <x v="76"/>
    <s v="Elijah Davis"/>
    <s v="Finance"/>
    <s v="Financial Analyst"/>
    <s v="Suresh Kumar"/>
    <n v="1"/>
    <n v="1"/>
    <n v="0"/>
    <n v="0"/>
    <n v="0"/>
    <n v="3.34"/>
    <x v="0"/>
    <x v="0"/>
    <x v="0"/>
  </r>
  <r>
    <x v="77"/>
    <s v="Sophia Davis"/>
    <s v="Operations"/>
    <s v="Operations Manager"/>
    <s v="Meera Nair"/>
    <n v="1"/>
    <n v="1"/>
    <n v="0"/>
    <n v="0"/>
    <n v="0"/>
    <n v="4"/>
    <x v="0"/>
    <x v="0"/>
    <x v="0"/>
  </r>
  <r>
    <x v="78"/>
    <s v="William Davis"/>
    <s v="IT"/>
    <s v="Software Engineer"/>
    <s v="Manish Sharma"/>
    <n v="1"/>
    <n v="1"/>
    <n v="0"/>
    <n v="0"/>
    <n v="0"/>
    <n v="4.66"/>
    <x v="0"/>
    <x v="0"/>
    <x v="0"/>
  </r>
  <r>
    <x v="79"/>
    <s v="Isabella Davis"/>
    <s v="Finance"/>
    <s v="Accountant"/>
    <s v="Suresh Kumar"/>
    <n v="1"/>
    <n v="1"/>
    <n v="0"/>
    <n v="0"/>
    <n v="0"/>
    <n v="3"/>
    <x v="0"/>
    <x v="0"/>
    <x v="0"/>
  </r>
  <r>
    <x v="80"/>
    <s v="Liam Rodriguez"/>
    <s v="IT"/>
    <s v="Software Engineer"/>
    <s v="Manish Sharma"/>
    <n v="1"/>
    <n v="1"/>
    <n v="0"/>
    <n v="0"/>
    <n v="0"/>
    <n v="4.24"/>
    <x v="0"/>
    <x v="0"/>
    <x v="0"/>
  </r>
  <r>
    <x v="81"/>
    <s v="Emma Rodriguez"/>
    <s v="HR"/>
    <s v="HR Executive"/>
    <s v="Anita Desai"/>
    <n v="1"/>
    <n v="1"/>
    <n v="0"/>
    <n v="0"/>
    <n v="0"/>
    <n v="5"/>
    <x v="0"/>
    <x v="0"/>
    <x v="0"/>
  </r>
  <r>
    <x v="82"/>
    <s v="Noah Rodriguez"/>
    <s v="Finance"/>
    <s v="Accountant"/>
    <s v="Suresh Kumar"/>
    <n v="1"/>
    <n v="1"/>
    <n v="0"/>
    <n v="0"/>
    <n v="0"/>
    <n v="2.34"/>
    <x v="0"/>
    <x v="1"/>
    <x v="2"/>
  </r>
  <r>
    <x v="83"/>
    <s v="Olivia Rodriguez"/>
    <s v="Operations"/>
    <s v="Operations Associate"/>
    <s v="Meera Nair"/>
    <n v="1"/>
    <n v="1"/>
    <n v="0"/>
    <n v="0"/>
    <n v="0"/>
    <n v="4"/>
    <x v="0"/>
    <x v="0"/>
    <x v="0"/>
  </r>
  <r>
    <x v="84"/>
    <s v="Oliver Rodriguez"/>
    <s v="IT"/>
    <s v="Team Lead"/>
    <s v="Manish Sharma"/>
    <n v="1"/>
    <n v="1"/>
    <n v="0"/>
    <n v="0"/>
    <n v="0"/>
    <n v="4.66"/>
    <x v="0"/>
    <x v="0"/>
    <x v="0"/>
  </r>
  <r>
    <x v="85"/>
    <s v="Ava Rodriguez"/>
    <s v="HR"/>
    <s v="HR Manager"/>
    <s v="Anita Desai"/>
    <n v="1"/>
    <n v="1"/>
    <n v="0"/>
    <n v="0"/>
    <n v="0"/>
    <n v="3.22"/>
    <x v="0"/>
    <x v="0"/>
    <x v="0"/>
  </r>
  <r>
    <x v="86"/>
    <s v="Elijah Rodriguez"/>
    <s v="Finance"/>
    <s v="Financial Analyst"/>
    <s v="Suresh Kumar"/>
    <n v="1"/>
    <n v="1"/>
    <n v="0"/>
    <n v="0"/>
    <n v="0"/>
    <n v="4"/>
    <x v="0"/>
    <x v="0"/>
    <x v="0"/>
  </r>
  <r>
    <x v="87"/>
    <s v="Sophia Rodriguez"/>
    <s v="Operations"/>
    <s v="Operations Manager"/>
    <s v="Meera Nair"/>
    <n v="1"/>
    <n v="1"/>
    <n v="0"/>
    <n v="0"/>
    <n v="0"/>
    <n v="5"/>
    <x v="0"/>
    <x v="0"/>
    <x v="0"/>
  </r>
  <r>
    <x v="88"/>
    <s v="William Rodriguez"/>
    <s v="IT"/>
    <s v="Software Engineer"/>
    <s v="Manish Sharma"/>
    <n v="1"/>
    <n v="1"/>
    <n v="0"/>
    <n v="0"/>
    <n v="0"/>
    <n v="2"/>
    <x v="0"/>
    <x v="1"/>
    <x v="2"/>
  </r>
  <r>
    <x v="89"/>
    <s v="Isabella Rodriguez"/>
    <s v="Finance"/>
    <s v="Accountant"/>
    <s v="Suresh Kumar"/>
    <n v="1"/>
    <n v="1"/>
    <n v="0"/>
    <n v="0"/>
    <n v="0"/>
    <n v="3.66"/>
    <x v="0"/>
    <x v="0"/>
    <x v="0"/>
  </r>
  <r>
    <x v="90"/>
    <s v="Liam Martinez"/>
    <s v="IT"/>
    <s v="Software Engineer"/>
    <s v="Manish Sharma"/>
    <n v="1"/>
    <n v="1"/>
    <n v="0"/>
    <n v="0"/>
    <n v="0"/>
    <n v="3.34"/>
    <x v="0"/>
    <x v="0"/>
    <x v="0"/>
  </r>
  <r>
    <x v="91"/>
    <s v="Emma Martinez"/>
    <s v="HR"/>
    <s v="HR Executive"/>
    <s v="Anita Desai"/>
    <n v="1"/>
    <n v="1"/>
    <n v="0"/>
    <n v="0"/>
    <n v="0"/>
    <n v="4"/>
    <x v="0"/>
    <x v="0"/>
    <x v="0"/>
  </r>
  <r>
    <x v="92"/>
    <s v="Noah Martinez"/>
    <s v="Finance"/>
    <s v="Accountant"/>
    <s v="Suresh Kumar"/>
    <n v="1"/>
    <n v="1"/>
    <n v="0"/>
    <n v="0"/>
    <n v="0"/>
    <n v="4.66"/>
    <x v="0"/>
    <x v="0"/>
    <x v="0"/>
  </r>
  <r>
    <x v="93"/>
    <s v="Olivia Martinez"/>
    <s v="Operations"/>
    <s v="Operations Associate"/>
    <s v="Meera Nair"/>
    <n v="1"/>
    <n v="1"/>
    <n v="0"/>
    <n v="0"/>
    <n v="0"/>
    <n v="3"/>
    <x v="0"/>
    <x v="0"/>
    <x v="0"/>
  </r>
  <r>
    <x v="94"/>
    <s v="Oliver Martinez"/>
    <s v="IT"/>
    <s v="Team Lead"/>
    <s v="Manish Sharma"/>
    <n v="1"/>
    <n v="1"/>
    <n v="0"/>
    <n v="0"/>
    <n v="0"/>
    <n v="4.24"/>
    <x v="0"/>
    <x v="0"/>
    <x v="0"/>
  </r>
  <r>
    <x v="95"/>
    <s v="Ava Martinez"/>
    <s v="HR"/>
    <s v="HR Manager"/>
    <s v="Anita Desai"/>
    <n v="1"/>
    <n v="1"/>
    <n v="0"/>
    <n v="0"/>
    <n v="0"/>
    <n v="5"/>
    <x v="0"/>
    <x v="0"/>
    <x v="0"/>
  </r>
  <r>
    <x v="96"/>
    <s v="Elijah Martinez"/>
    <s v="Finance"/>
    <s v="Financial Analyst"/>
    <s v="Suresh Kumar"/>
    <n v="1"/>
    <n v="1"/>
    <n v="0"/>
    <n v="0"/>
    <n v="0"/>
    <n v="2.34"/>
    <x v="0"/>
    <x v="1"/>
    <x v="2"/>
  </r>
  <r>
    <x v="97"/>
    <s v="Sophia Martinez"/>
    <s v="Operations"/>
    <s v="Operations Manager"/>
    <s v="Meera Nair"/>
    <n v="1"/>
    <n v="1"/>
    <n v="0"/>
    <n v="0"/>
    <n v="0"/>
    <n v="4"/>
    <x v="0"/>
    <x v="0"/>
    <x v="0"/>
  </r>
  <r>
    <x v="98"/>
    <s v="William Martinez"/>
    <s v="IT"/>
    <s v="Software Engineer"/>
    <s v="Manish Sharma"/>
    <n v="1"/>
    <n v="1"/>
    <n v="0"/>
    <n v="0"/>
    <n v="0"/>
    <n v="4.66"/>
    <x v="0"/>
    <x v="0"/>
    <x v="0"/>
  </r>
  <r>
    <x v="99"/>
    <s v="Isabella Martinez"/>
    <s v="Finance"/>
    <s v="Accountant"/>
    <s v="Suresh Kumar"/>
    <n v="1"/>
    <n v="1"/>
    <n v="0"/>
    <n v="0"/>
    <n v="0"/>
    <n v="3.22"/>
    <x v="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D7B3909-9558-40EE-8D68-883316D81E5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0:C46" firstHeaderRow="0" firstDataRow="1" firstDataCol="1"/>
  <pivotFields count="21">
    <pivotField showAll="0"/>
    <pivotField showAll="0"/>
    <pivotField axis="axisRow" showAll="0">
      <items count="6">
        <item x="3"/>
        <item x="2"/>
        <item x="1"/>
        <item x="4"/>
        <item x="0"/>
        <item t="default"/>
      </items>
    </pivotField>
    <pivotField showAll="0"/>
    <pivotField showAll="0"/>
    <pivotField numFmtId="14" showAll="0"/>
    <pivotField numFmtId="14" showAll="0">
      <items count="5">
        <item x="0"/>
        <item x="1"/>
        <item x="2"/>
        <item x="3"/>
        <item t="default"/>
      </items>
    </pivotField>
    <pivotField showAll="0"/>
    <pivotField showAll="0"/>
    <pivotField showAll="0"/>
    <pivotField dataField="1" showAll="0"/>
    <pivotField showAll="0"/>
    <pivotField dataField="1" showAll="0"/>
    <pivotField numFmtId="9" showAll="0"/>
    <pivotField showAll="0"/>
    <pivotField showAll="0"/>
    <pivotField showAll="0"/>
    <pivotField showAll="0"/>
    <pivotField showAll="0" defaultSubtotal="0"/>
    <pivotField showAll="0" defaultSubtotal="0"/>
    <pivotField showAll="0" defaultSubtotal="0">
      <items count="4">
        <item x="0"/>
        <item x="1"/>
        <item x="2"/>
        <item x="3"/>
      </items>
    </pivotField>
  </pivotFields>
  <rowFields count="1">
    <field x="2"/>
  </rowFields>
  <rowItems count="6">
    <i>
      <x/>
    </i>
    <i>
      <x v="1"/>
    </i>
    <i>
      <x v="2"/>
    </i>
    <i>
      <x v="3"/>
    </i>
    <i>
      <x v="4"/>
    </i>
    <i t="grand">
      <x/>
    </i>
  </rowItems>
  <colFields count="1">
    <field x="-2"/>
  </colFields>
  <colItems count="2">
    <i>
      <x/>
    </i>
    <i i="1">
      <x v="1"/>
    </i>
  </colItems>
  <dataFields count="2">
    <dataField name="Sum of Tasks Completed" fld="10" baseField="0" baseItem="0"/>
    <dataField name="Sum of Target Tasks" fld="12" baseField="0" baseItem="0"/>
  </dataField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6B2325E-0CCC-4E64-8BB6-A9B3C18EDDF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1:B7" firstHeaderRow="1" firstDataRow="1" firstDataCol="1"/>
  <pivotFields count="21">
    <pivotField dataField="1"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showAll="0"/>
    <pivotField axis="axisRow" showAll="0">
      <items count="6">
        <item x="3"/>
        <item x="2"/>
        <item x="1"/>
        <item x="4"/>
        <item x="0"/>
        <item t="default"/>
      </items>
    </pivotField>
    <pivotField showAll="0"/>
    <pivotField showAll="0"/>
    <pivotField numFmtId="14" showAll="0"/>
    <pivotField numFmtId="14" showAll="0">
      <items count="5">
        <item x="0"/>
        <item x="1"/>
        <item x="2"/>
        <item x="3"/>
        <item t="default"/>
      </items>
    </pivotField>
    <pivotField showAll="0"/>
    <pivotField showAll="0"/>
    <pivotField showAll="0"/>
    <pivotField showAll="0"/>
    <pivotField showAll="0"/>
    <pivotField showAll="0"/>
    <pivotField numFmtId="9"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6">
    <i>
      <x/>
    </i>
    <i>
      <x v="1"/>
    </i>
    <i>
      <x v="2"/>
    </i>
    <i>
      <x v="3"/>
    </i>
    <i>
      <x v="4"/>
    </i>
    <i t="grand">
      <x/>
    </i>
  </rowItems>
  <colItems count="1">
    <i/>
  </colItems>
  <dataFields count="1">
    <dataField name="Total Employees" fld="0" subtotal="count" baseField="0" baseItem="0"/>
  </dataFields>
  <chartFormats count="3">
    <chartFormat chart="0" format="3"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E0D8B5E-2322-4C81-94A1-370BAC8B744E}"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2:B95" firstHeaderRow="1" firstDataRow="1" firstDataCol="1"/>
  <pivotFields count="14">
    <pivotField dataField="1"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pivotField showAll="0"/>
    <pivotField showAll="0"/>
    <pivotField showAll="0"/>
    <pivotField numFmtId="9" showAll="0"/>
    <pivotField showAll="0"/>
    <pivotField showAll="0"/>
    <pivotField showAll="0"/>
    <pivotField showAll="0"/>
    <pivotField showAll="0"/>
    <pivotField axis="axisRow" showAll="0">
      <items count="3">
        <item x="1"/>
        <item x="0"/>
        <item t="default"/>
      </items>
    </pivotField>
    <pivotField showAll="0"/>
    <pivotField showAll="0"/>
  </pivotFields>
  <rowFields count="1">
    <field x="11"/>
  </rowFields>
  <rowItems count="3">
    <i>
      <x/>
    </i>
    <i>
      <x v="1"/>
    </i>
    <i t="grand">
      <x/>
    </i>
  </rowItems>
  <colItems count="1">
    <i/>
  </colItems>
  <dataFields count="1">
    <dataField name="Count of Employee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AE1FF26-DAD9-45B3-8435-C88C07270F17}"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51:B57" firstHeaderRow="1" firstDataRow="1" firstDataCol="1"/>
  <pivotFields count="21">
    <pivotField showAll="0"/>
    <pivotField showAll="0"/>
    <pivotField axis="axisRow" showAll="0">
      <items count="6">
        <item x="3"/>
        <item x="2"/>
        <item x="1"/>
        <item x="4"/>
        <item x="0"/>
        <item t="default"/>
      </items>
    </pivotField>
    <pivotField showAll="0"/>
    <pivotField showAll="0"/>
    <pivotField numFmtId="14" showAll="0"/>
    <pivotField numFmtId="14" showAll="0">
      <items count="5">
        <item x="0"/>
        <item x="1"/>
        <item x="2"/>
        <item x="3"/>
        <item t="default"/>
      </items>
    </pivotField>
    <pivotField showAll="0"/>
    <pivotField showAll="0"/>
    <pivotField dataField="1" showAll="0"/>
    <pivotField showAll="0"/>
    <pivotField showAll="0"/>
    <pivotField showAll="0"/>
    <pivotField numFmtId="9" showAll="0"/>
    <pivotField showAll="0"/>
    <pivotField showAll="0"/>
    <pivotField showAll="0"/>
    <pivotField showAll="0"/>
    <pivotField showAll="0" defaultSubtotal="0"/>
    <pivotField showAll="0" defaultSubtotal="0"/>
    <pivotField showAll="0" defaultSubtotal="0">
      <items count="4">
        <item x="0"/>
        <item x="1"/>
        <item x="2"/>
        <item x="3"/>
      </items>
    </pivotField>
  </pivotFields>
  <rowFields count="1">
    <field x="2"/>
  </rowFields>
  <rowItems count="6">
    <i>
      <x/>
    </i>
    <i>
      <x v="1"/>
    </i>
    <i>
      <x v="2"/>
    </i>
    <i>
      <x v="3"/>
    </i>
    <i>
      <x v="4"/>
    </i>
    <i t="grand">
      <x/>
    </i>
  </rowItems>
  <colItems count="1">
    <i/>
  </colItems>
  <dataFields count="1">
    <dataField name="Average of Overtime Hours" fld="9" subtotal="average" baseField="2" baseItem="0"/>
  </dataFields>
  <chartFormats count="1">
    <chartFormat chart="4"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14DCBC7-573F-4D20-8765-099741134D98}"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07:B112" firstHeaderRow="1" firstDataRow="1" firstDataCol="1"/>
  <pivotFields count="14">
    <pivotField dataField="1"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pivotField showAll="0"/>
    <pivotField showAll="0"/>
    <pivotField showAll="0"/>
    <pivotField numFmtId="9" showAll="0"/>
    <pivotField showAll="0"/>
    <pivotField showAll="0"/>
    <pivotField showAll="0"/>
    <pivotField showAll="0"/>
    <pivotField showAll="0"/>
    <pivotField showAll="0"/>
    <pivotField showAll="0"/>
    <pivotField axis="axisRow" showAll="0">
      <items count="5">
        <item x="1"/>
        <item x="3"/>
        <item x="0"/>
        <item x="2"/>
        <item t="default"/>
      </items>
    </pivotField>
  </pivotFields>
  <rowFields count="1">
    <field x="13"/>
  </rowFields>
  <rowItems count="5">
    <i>
      <x/>
    </i>
    <i>
      <x v="1"/>
    </i>
    <i>
      <x v="2"/>
    </i>
    <i>
      <x v="3"/>
    </i>
    <i t="grand">
      <x/>
    </i>
  </rowItems>
  <colItems count="1">
    <i/>
  </colItems>
  <dataFields count="1">
    <dataField name="Count of EmployeeID" fld="0" subtotal="count"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3" count="1" selected="0">
            <x v="2"/>
          </reference>
        </references>
      </pivotArea>
    </chartFormat>
    <chartFormat chart="0" format="2">
      <pivotArea type="data" outline="0" fieldPosition="0">
        <references count="2">
          <reference field="4294967294" count="1" selected="0">
            <x v="0"/>
          </reference>
          <reference field="13" count="1" selected="0">
            <x v="3"/>
          </reference>
        </references>
      </pivotArea>
    </chartFormat>
    <chartFormat chart="0" format="3">
      <pivotArea type="data" outline="0" fieldPosition="0">
        <references count="2">
          <reference field="4294967294" count="1" selected="0">
            <x v="0"/>
          </reference>
          <reference field="13" count="1" selected="0">
            <x v="0"/>
          </reference>
        </references>
      </pivotArea>
    </chartFormat>
    <chartFormat chart="0" format="4">
      <pivotArea type="data" outline="0" fieldPosition="0">
        <references count="2">
          <reference field="4294967294" count="1" selected="0">
            <x v="0"/>
          </reference>
          <reference field="13" count="1" selected="0">
            <x v="1"/>
          </reference>
        </references>
      </pivotArea>
    </chartFormat>
    <chartFormat chart="9" format="10" series="1">
      <pivotArea type="data" outline="0" fieldPosition="0">
        <references count="1">
          <reference field="4294967294" count="1" selected="0">
            <x v="0"/>
          </reference>
        </references>
      </pivotArea>
    </chartFormat>
    <chartFormat chart="9" format="11">
      <pivotArea type="data" outline="0" fieldPosition="0">
        <references count="2">
          <reference field="4294967294" count="1" selected="0">
            <x v="0"/>
          </reference>
          <reference field="13" count="1" selected="0">
            <x v="0"/>
          </reference>
        </references>
      </pivotArea>
    </chartFormat>
    <chartFormat chart="9" format="12">
      <pivotArea type="data" outline="0" fieldPosition="0">
        <references count="2">
          <reference field="4294967294" count="1" selected="0">
            <x v="0"/>
          </reference>
          <reference field="13" count="1" selected="0">
            <x v="1"/>
          </reference>
        </references>
      </pivotArea>
    </chartFormat>
    <chartFormat chart="9" format="13">
      <pivotArea type="data" outline="0" fieldPosition="0">
        <references count="2">
          <reference field="4294967294" count="1" selected="0">
            <x v="0"/>
          </reference>
          <reference field="13" count="1" selected="0">
            <x v="2"/>
          </reference>
        </references>
      </pivotArea>
    </chartFormat>
    <chartFormat chart="9" format="14">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015140C-1CE9-4CDE-87FB-E5BF7C1FDA67}"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61:B87" firstHeaderRow="1" firstDataRow="1" firstDataCol="1"/>
  <pivotFields count="21">
    <pivotField showAll="0"/>
    <pivotField axis="axisRow" showAll="0" sortType="descending">
      <items count="26">
        <item x="22"/>
        <item x="15"/>
        <item x="11"/>
        <item x="20"/>
        <item x="7"/>
        <item x="6"/>
        <item x="24"/>
        <item x="12"/>
        <item x="1"/>
        <item x="23"/>
        <item x="17"/>
        <item x="19"/>
        <item x="18"/>
        <item x="0"/>
        <item x="21"/>
        <item x="5"/>
        <item x="16"/>
        <item x="4"/>
        <item x="2"/>
        <item x="10"/>
        <item x="14"/>
        <item x="9"/>
        <item x="8"/>
        <item x="3"/>
        <item x="13"/>
        <item t="default"/>
      </items>
      <autoSortScope>
        <pivotArea dataOnly="0" outline="0" fieldPosition="0">
          <references count="1">
            <reference field="4294967294" count="1" selected="0">
              <x v="0"/>
            </reference>
          </references>
        </pivotArea>
      </autoSortScope>
    </pivotField>
    <pivotField showAll="0">
      <items count="6">
        <item x="3"/>
        <item x="2"/>
        <item x="1"/>
        <item x="4"/>
        <item x="0"/>
        <item t="default"/>
      </items>
    </pivotField>
    <pivotField showAll="0"/>
    <pivotField showAll="0"/>
    <pivotField numFmtId="14" showAll="0"/>
    <pivotField numFmtId="14" showAll="0">
      <items count="5">
        <item x="0"/>
        <item x="1"/>
        <item x="2"/>
        <item x="3"/>
        <item t="default"/>
      </items>
    </pivotField>
    <pivotField showAll="0"/>
    <pivotField showAll="0"/>
    <pivotField showAll="0"/>
    <pivotField showAll="0"/>
    <pivotField dataField="1" showAll="0"/>
    <pivotField showAll="0"/>
    <pivotField numFmtId="9" showAll="0"/>
    <pivotField showAll="0"/>
    <pivotField showAll="0"/>
    <pivotField showAll="0"/>
    <pivotField showAll="0"/>
    <pivotField showAll="0" defaultSubtotal="0"/>
    <pivotField showAll="0" defaultSubtotal="0"/>
    <pivotField showAll="0" defaultSubtotal="0">
      <items count="4">
        <item x="0"/>
        <item x="1"/>
        <item x="2"/>
        <item x="3"/>
      </items>
    </pivotField>
  </pivotFields>
  <rowFields count="1">
    <field x="1"/>
  </rowFields>
  <rowItems count="26">
    <i>
      <x v="17"/>
    </i>
    <i>
      <x v="10"/>
    </i>
    <i>
      <x v="2"/>
    </i>
    <i>
      <x v="1"/>
    </i>
    <i>
      <x v="11"/>
    </i>
    <i>
      <x v="12"/>
    </i>
    <i>
      <x v="7"/>
    </i>
    <i>
      <x v="13"/>
    </i>
    <i>
      <x v="19"/>
    </i>
    <i>
      <x v="22"/>
    </i>
    <i>
      <x v="21"/>
    </i>
    <i>
      <x v="4"/>
    </i>
    <i>
      <x v="6"/>
    </i>
    <i>
      <x v="9"/>
    </i>
    <i>
      <x/>
    </i>
    <i>
      <x v="16"/>
    </i>
    <i>
      <x v="5"/>
    </i>
    <i>
      <x v="15"/>
    </i>
    <i>
      <x v="23"/>
    </i>
    <i>
      <x v="8"/>
    </i>
    <i>
      <x v="20"/>
    </i>
    <i>
      <x v="24"/>
    </i>
    <i>
      <x v="14"/>
    </i>
    <i>
      <x v="18"/>
    </i>
    <i>
      <x v="3"/>
    </i>
    <i t="grand">
      <x/>
    </i>
  </rowItems>
  <colItems count="1">
    <i/>
  </colItems>
  <dataFields count="1">
    <dataField name="Average of Performance Score" fld="11" subtotal="average" baseField="1"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2D87FDF-1285-4765-BDB5-28C4D7241A2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3:B28" firstHeaderRow="1" firstDataRow="1" firstDataCol="1"/>
  <pivotFields count="21">
    <pivotField showAll="0"/>
    <pivotField showAll="0"/>
    <pivotField showAll="0">
      <items count="6">
        <item x="3"/>
        <item x="2"/>
        <item x="1"/>
        <item x="4"/>
        <item x="0"/>
        <item t="default"/>
      </items>
    </pivotField>
    <pivotField showAll="0"/>
    <pivotField showAll="0"/>
    <pivotField numFmtId="14" showAll="0"/>
    <pivotField numFmtId="14" showAll="0">
      <items count="5">
        <item x="0"/>
        <item x="1"/>
        <item x="2"/>
        <item x="3"/>
        <item t="default"/>
      </items>
    </pivotField>
    <pivotField axis="axisRow" dataField="1" showAll="0">
      <items count="5">
        <item x="2"/>
        <item x="3"/>
        <item x="0"/>
        <item x="1"/>
        <item t="default"/>
      </items>
    </pivotField>
    <pivotField showAll="0"/>
    <pivotField showAll="0"/>
    <pivotField showAll="0"/>
    <pivotField showAll="0"/>
    <pivotField showAll="0"/>
    <pivotField numFmtId="9"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7"/>
  </rowFields>
  <rowItems count="5">
    <i>
      <x/>
    </i>
    <i>
      <x v="1"/>
    </i>
    <i>
      <x v="2"/>
    </i>
    <i>
      <x v="3"/>
    </i>
    <i t="grand">
      <x/>
    </i>
  </rowItems>
  <colItems count="1">
    <i/>
  </colItems>
  <dataFields count="1">
    <dataField name="Count of Attendance Status" fld="7" subtotal="count" baseField="0" baseItem="0"/>
  </dataFields>
  <chartFormats count="5">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7" count="1" selected="0">
            <x v="0"/>
          </reference>
        </references>
      </pivotArea>
    </chartFormat>
    <chartFormat chart="5" format="8">
      <pivotArea type="data" outline="0" fieldPosition="0">
        <references count="2">
          <reference field="4294967294" count="1" selected="0">
            <x v="0"/>
          </reference>
          <reference field="7" count="1" selected="0">
            <x v="1"/>
          </reference>
        </references>
      </pivotArea>
    </chartFormat>
    <chartFormat chart="5" format="9">
      <pivotArea type="data" outline="0" fieldPosition="0">
        <references count="2">
          <reference field="4294967294" count="1" selected="0">
            <x v="0"/>
          </reference>
          <reference field="7" count="1" selected="0">
            <x v="2"/>
          </reference>
        </references>
      </pivotArea>
    </chartFormat>
    <chartFormat chart="5" format="10">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5BD2BCF-3B57-41F8-9FBA-076B0B7968D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2:B37" firstHeaderRow="1" firstDataRow="1" firstDataCol="1"/>
  <pivotFields count="21">
    <pivotField showAll="0"/>
    <pivotField showAll="0"/>
    <pivotField showAll="0">
      <items count="6">
        <item x="3"/>
        <item x="2"/>
        <item x="1"/>
        <item x="4"/>
        <item x="0"/>
        <item t="default"/>
      </items>
    </pivotField>
    <pivotField showAll="0"/>
    <pivotField showAll="0"/>
    <pivotField numFmtId="14" showAll="0"/>
    <pivotField axis="axisRow" numFmtId="14" showAll="0">
      <items count="5">
        <item x="0"/>
        <item x="1"/>
        <item x="2"/>
        <item x="3"/>
        <item t="default"/>
      </items>
    </pivotField>
    <pivotField showAll="0"/>
    <pivotField showAll="0"/>
    <pivotField showAll="0"/>
    <pivotField showAll="0"/>
    <pivotField dataField="1" showAll="0"/>
    <pivotField showAll="0"/>
    <pivotField numFmtId="9"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x="1"/>
        <item x="2"/>
        <item sd="0" x="3"/>
        <item t="default"/>
      </items>
    </pivotField>
  </pivotFields>
  <rowFields count="1">
    <field x="6"/>
  </rowFields>
  <rowItems count="5">
    <i>
      <x/>
    </i>
    <i>
      <x v="1"/>
    </i>
    <i>
      <x v="2"/>
    </i>
    <i>
      <x v="3"/>
    </i>
    <i t="grand">
      <x/>
    </i>
  </rowItems>
  <colItems count="1">
    <i/>
  </colItems>
  <dataFields count="1">
    <dataField name="Average of Performance Score" fld="11" subtotal="average" baseField="20" baseItem="1"/>
  </dataFields>
  <formats count="1">
    <format dxfId="0">
      <pivotArea dataOnly="0" labelOnly="1" fieldPosition="0">
        <references count="1">
          <reference field="6" count="0"/>
        </references>
      </pivotArea>
    </format>
  </format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9D0DBEE-66C4-44DB-A867-CDC4F43FFF02}"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0:B103" firstHeaderRow="1" firstDataRow="1" firstDataCol="1"/>
  <pivotFields count="14">
    <pivotField dataField="1"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pivotField showAll="0"/>
    <pivotField showAll="0"/>
    <pivotField showAll="0"/>
    <pivotField numFmtId="9" showAll="0"/>
    <pivotField showAll="0"/>
    <pivotField showAll="0"/>
    <pivotField showAll="0"/>
    <pivotField showAll="0"/>
    <pivotField showAll="0"/>
    <pivotField showAll="0"/>
    <pivotField axis="axisRow" showAll="0">
      <items count="3">
        <item x="1"/>
        <item x="0"/>
        <item t="default"/>
      </items>
    </pivotField>
    <pivotField showAll="0"/>
  </pivotFields>
  <rowFields count="1">
    <field x="12"/>
  </rowFields>
  <rowItems count="3">
    <i>
      <x/>
    </i>
    <i>
      <x v="1"/>
    </i>
    <i t="grand">
      <x/>
    </i>
  </rowItems>
  <colItems count="1">
    <i/>
  </colItems>
  <dataFields count="1">
    <dataField name="Count of Employee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D5C56A1-E906-475B-B7B0-02553A927812}"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6:A117" firstHeaderRow="1" firstDataRow="1" firstDataCol="0"/>
  <pivotFields count="14">
    <pivotField showAll="0"/>
    <pivotField showAll="0"/>
    <pivotField showAll="0"/>
    <pivotField showAll="0"/>
    <pivotField showAll="0"/>
    <pivotField dataField="1" numFmtId="9" showAll="0"/>
    <pivotField showAll="0"/>
    <pivotField showAll="0"/>
    <pivotField showAll="0"/>
    <pivotField showAll="0"/>
    <pivotField showAll="0"/>
    <pivotField showAll="0"/>
    <pivotField showAll="0"/>
    <pivotField showAll="0"/>
  </pivotFields>
  <rowItems count="1">
    <i/>
  </rowItems>
  <colItems count="1">
    <i/>
  </colItems>
  <dataFields count="1">
    <dataField name="Average of Attendance%" fld="5" subtotal="average" baseField="0" baseItem="0" numFmtId="9"/>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5FEB6AB-FE63-496F-9BFD-DB1DFF1E7C0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2:B18" firstHeaderRow="1" firstDataRow="1" firstDataCol="1"/>
  <pivotFields count="21">
    <pivotField showAll="0"/>
    <pivotField showAll="0"/>
    <pivotField axis="axisRow" showAll="0">
      <items count="6">
        <item x="3"/>
        <item x="2"/>
        <item x="1"/>
        <item x="4"/>
        <item x="0"/>
        <item t="default"/>
      </items>
    </pivotField>
    <pivotField showAll="0"/>
    <pivotField showAll="0"/>
    <pivotField numFmtId="14" showAll="0"/>
    <pivotField numFmtId="14" showAll="0">
      <items count="5">
        <item x="0"/>
        <item x="1"/>
        <item x="2"/>
        <item x="3"/>
        <item t="default"/>
      </items>
    </pivotField>
    <pivotField showAll="0"/>
    <pivotField showAll="0"/>
    <pivotField showAll="0"/>
    <pivotField showAll="0"/>
    <pivotField dataField="1" showAll="0"/>
    <pivotField showAll="0"/>
    <pivotField numFmtId="9"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6">
    <i>
      <x/>
    </i>
    <i>
      <x v="1"/>
    </i>
    <i>
      <x v="2"/>
    </i>
    <i>
      <x v="3"/>
    </i>
    <i>
      <x v="4"/>
    </i>
    <i t="grand">
      <x/>
    </i>
  </rowItems>
  <colItems count="1">
    <i/>
  </colItems>
  <dataFields count="1">
    <dataField name="Average of Performance Score" fld="11" subtotal="average" baseField="2" baseItem="0"/>
  </dataField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2AE859F-95E3-4920-BF86-7274180B3570}" autoFormatId="16" applyNumberFormats="0" applyBorderFormats="0" applyFontFormats="0" applyPatternFormats="0" applyAlignmentFormats="0" applyWidthHeightFormats="0">
  <queryTableRefresh nextId="19">
    <queryTableFields count="18">
      <queryTableField id="1" name="Employee ID" tableColumnId="1"/>
      <queryTableField id="2" name="Employee Name" tableColumnId="2"/>
      <queryTableField id="3" name="Department" tableColumnId="3"/>
      <queryTableField id="4" name="Job Role" tableColumnId="4"/>
      <queryTableField id="5" name="Location" tableColumnId="5"/>
      <queryTableField id="6" name="Date" tableColumnId="6"/>
      <queryTableField id="7" name="Month" tableColumnId="7"/>
      <queryTableField id="8" name="Attendance Status" tableColumnId="8"/>
      <queryTableField id="9" name="Working Hours" tableColumnId="9"/>
      <queryTableField id="10" name="Overtime Hours" tableColumnId="10"/>
      <queryTableField id="11" name="Tasks Completed" tableColumnId="11"/>
      <queryTableField id="12" name="Performance Score" tableColumnId="12"/>
      <queryTableField id="13" name="Target Tasks" tableColumnId="13"/>
      <queryTableField id="14" name="Achievement %" tableColumnId="14"/>
      <queryTableField id="15" name="Salary" tableColumnId="15"/>
      <queryTableField id="16" name="Bonus Eligibility" tableColumnId="16"/>
      <queryTableField id="17" name="Manager Rating" tableColumnId="17"/>
      <queryTableField id="18" name="Remarks" tableColumnId="1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1F09081F-2351-4FE5-B20E-7327532D97DE}" sourceName="Department">
  <pivotTables>
    <pivotTable tabId="14" name="PivotTable3"/>
    <pivotTable tabId="14" name="PivotTable4"/>
    <pivotTable tabId="14" name="PivotTable5"/>
    <pivotTable tabId="14" name="PivotTable6"/>
    <pivotTable tabId="14" name="PivotTable7"/>
    <pivotTable tabId="14" name="PivotTable8"/>
    <pivotTable tabId="14" name="PivotTable9"/>
  </pivotTables>
  <data>
    <tabular pivotCacheId="1950280619">
      <items count="5">
        <i x="3" s="1"/>
        <i x="2" s="1"/>
        <i x="1"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BA82475E-3F0A-4F54-B8B0-F46D205DBA92}" sourceName="Month">
  <pivotTables>
    <pivotTable tabId="14" name="PivotTable6"/>
    <pivotTable tabId="14" name="PivotTable3"/>
    <pivotTable tabId="14" name="PivotTable4"/>
    <pivotTable tabId="14" name="PivotTable5"/>
    <pivotTable tabId="14" name="PivotTable7"/>
    <pivotTable tabId="14" name="PivotTable8"/>
    <pivotTable tabId="14" name="PivotTable9"/>
  </pivotTables>
  <data>
    <tabular pivotCacheId="1950280619">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7E58E7F3-60D2-4036-A4DB-2D930F797951}" cache="Slicer_Department" caption="Department" rowHeight="234950"/>
  <slicer name="Month" xr10:uid="{4008584F-4ACF-41B3-912A-F488AB04C7A5}" cache="Slicer_Month" caption="Month" rowHeight="234950"/>
</slicers>
</file>

<file path=xl/tables/_rels/table6.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4C7AFEA-CD92-45C6-A77A-E58B49A503A2}" name="tblEmployees" displayName="tblEmployees" ref="A1:J101" totalsRowShown="0">
  <autoFilter ref="A1:J101" xr:uid="{F4C7AFEA-CD92-45C6-A77A-E58B49A503A2}"/>
  <tableColumns count="10">
    <tableColumn id="1" xr3:uid="{7232CB81-85BD-4009-8B86-B7F360361F0E}" name="EmployeeID"/>
    <tableColumn id="2" xr3:uid="{0E45FB95-6BFC-4BEA-B256-24B40C5EA841}" name="Name"/>
    <tableColumn id="3" xr3:uid="{55616A7A-DE0D-4243-A96D-54EEFC512AEF}" name="Gender"/>
    <tableColumn id="4" xr3:uid="{7C78E65B-5AE0-481F-8F71-E1CFBF2CBD83}" name="DOB" dataDxfId="21"/>
    <tableColumn id="5" xr3:uid="{0F4B10A7-E7A3-4DC2-86E1-6E81701017BB}" name="DOJ" dataDxfId="20"/>
    <tableColumn id="6" xr3:uid="{7D8C2C74-7413-4B26-9C99-EB939B087148}" name="Department"/>
    <tableColumn id="7" xr3:uid="{3413EF31-E632-42F8-807A-B53DED8464F0}" name="JobRole"/>
    <tableColumn id="8" xr3:uid="{9B790014-6755-40EB-9CB5-A829A8FEEAE8}" name="Manager"/>
    <tableColumn id="9" xr3:uid="{B1D1C8EF-09B3-40CD-B812-B19AD22F4017}" name="EmploymentType"/>
    <tableColumn id="10" xr3:uid="{F5FE24D4-848D-42DF-A2BE-A99939DC1057}" name="Grad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34DE7C3-C414-447B-B1A8-82FFE60DE8DA}" name="tblAttendance." displayName="tblAttendance." ref="A1:G101" totalsRowShown="0" headerRowDxfId="19">
  <tableColumns count="7">
    <tableColumn id="7" xr3:uid="{10F28E35-55EE-417A-94A6-42238FF11772}" name="EmployeeID" dataDxfId="18"/>
    <tableColumn id="2" xr3:uid="{E930980B-E24A-4B7A-9C15-1CB475E71681}" name="Date"/>
    <tableColumn id="3" xr3:uid="{D1732EEE-8F4B-4DDF-83FF-B86BDCE2B8F4}" name="Status"/>
    <tableColumn id="4" xr3:uid="{B6FDA29B-CBF3-49A2-8C3B-33157345B419}" name="InTime"/>
    <tableColumn id="5" xr3:uid="{D42B15D5-4196-4DD9-8D72-99064F694F66}" name="OutTime"/>
    <tableColumn id="6" xr3:uid="{EC194CAF-E46F-4A01-B1CA-6506C2613D04}" name="OvertimeHrs" dataDxfId="17"/>
    <tableColumn id="1" xr3:uid="{3B31E0BE-A148-45D7-9F34-EEF8EAA3F076}" name="Attendance %" dataDxfId="16">
      <calculatedColumnFormula>IF(OR(tblAttendance.[[#This Row],[Status]]="P",tblAttendance.[[#This Row],[Status]]="WFH"),100%,IF(tblAttendance.[[#This Row],[Status]]="L",0%,IF(tblAttendance.[[#This Row],[Status]]="A",0%,0%)))</calculatedColumnFormula>
    </tableColumn>
  </tableColumns>
  <tableStyleInfo name="TableStyleMedium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853DF88-9CAA-4B9F-B89A-46813403EC45}" name="tblPerformance" displayName="tblPerformance" ref="A1:L101" totalsRowShown="0">
  <autoFilter ref="A1:L101" xr:uid="{9853DF88-9CAA-4B9F-B89A-46813403EC45}"/>
  <tableColumns count="12">
    <tableColumn id="1" xr3:uid="{46565C4D-FB22-4BCF-911E-F1005569DD28}" name="EmpID"/>
    <tableColumn id="2" xr3:uid="{161753CC-0FF9-46B6-84D8-6C114C443919}" name="ReviewPeriod"/>
    <tableColumn id="3" xr3:uid="{FB3DB77B-BD9E-4022-822D-B4F0348E0C46}" name="KRA1"/>
    <tableColumn id="4" xr3:uid="{5684B72B-84FB-4D85-9E5C-A23CB3B992E3}" name="KRA2"/>
    <tableColumn id="5" xr3:uid="{86F656D0-38F1-4E31-9FB7-40EB44B7434E}" name="KRA3"/>
    <tableColumn id="6" xr3:uid="{6FB68F9B-867D-46E6-8E0B-B6ED01CC42F6}" name="KRA4"/>
    <tableColumn id="7" xr3:uid="{D46BDCB4-85BB-487E-B644-EBF46414B0FE}" name="KRA5"/>
    <tableColumn id="8" xr3:uid="{E9DAA878-9552-411F-A8EB-19CE562F1868}" name="ManagerScore"/>
    <tableColumn id="9" xr3:uid="{4A97489A-8C12-4FB6-8CAC-9096FBD276BD}" name="PeerScore"/>
    <tableColumn id="10" xr3:uid="{94DBEE83-FBFC-4F9A-818F-BAD28AF5A7DA}" name="Awards"/>
    <tableColumn id="11" xr3:uid="{E470D5F9-91C1-4C08-86C7-3589713CE2D2}" name="KRA Avg" dataDxfId="15">
      <calculatedColumnFormula>AVERAGE(tblPerformance[[#This Row],[KRA1]:[KRA5]])</calculatedColumnFormula>
    </tableColumn>
    <tableColumn id="12" xr3:uid="{A19B5F4A-7F6C-48A8-9A5F-A755A4713BA7}" name="PerfScore" dataDxfId="14">
      <calculatedColumnFormula>ROUND((K2*0.6)+(H2*0.3)+(I2*0.1),2)</calculatedColumnFormula>
    </tableColumn>
  </tableColumns>
  <tableStyleInfo name="TableStyleMedium4"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5A0A9F0-3A65-47BD-8AF2-57930FD32FFC}" name="tblHolidays" displayName="tblHolidays" ref="A1:C8" totalsRowShown="0">
  <autoFilter ref="A1:C8" xr:uid="{05A0A9F0-3A65-47BD-8AF2-57930FD32FFC}"/>
  <tableColumns count="3">
    <tableColumn id="1" xr3:uid="{2A021B6F-ABE7-44DB-A400-9DFC31AEC0AD}" name="Date" dataDxfId="13"/>
    <tableColumn id="2" xr3:uid="{995F38E0-B983-4538-8BA1-161FDA6261D5}" name="HolidayName"/>
    <tableColumn id="3" xr3:uid="{49530FE8-8B24-402B-BB18-F62B55DD250A}" name="Location_Org"/>
  </tableColumns>
  <tableStyleInfo name="TableStyleMedium5"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45579AA-8B93-4657-87A2-DD935DE23EDA}" name="tblShifts" displayName="tblShifts" ref="A1:D4" totalsRowShown="0">
  <autoFilter ref="A1:D4" xr:uid="{145579AA-8B93-4657-87A2-DD935DE23EDA}"/>
  <tableColumns count="4">
    <tableColumn id="1" xr3:uid="{98D27F26-CC34-40DF-BCCA-5142B6AB27CF}" name="ShiftID"/>
    <tableColumn id="2" xr3:uid="{7D732222-F3DE-420E-AE3A-63FCC12ECF35}" name="ShiftName"/>
    <tableColumn id="3" xr3:uid="{244C4160-345A-486D-99AC-70DD78EDA38E}" name="StartTime"/>
    <tableColumn id="4" xr3:uid="{9903B220-E0C4-41D5-B763-FEF71824772D}" name="EndTime" dataDxfId="12"/>
  </tableColumns>
  <tableStyleInfo name="TableStyleMedium6"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4760CF3-D5D3-4217-B165-893266583CDE}" name="Cleaned_Data" displayName="Cleaned_Data" ref="A1:R101" tableType="queryTable" totalsRowShown="0">
  <autoFilter ref="A1:R101" xr:uid="{F4760CF3-D5D3-4217-B165-893266583CDE}"/>
  <tableColumns count="18">
    <tableColumn id="1" xr3:uid="{620E5E55-BB14-4B36-9385-B1B2F435C9D7}" uniqueName="1" name="Employee ID" queryTableFieldId="1" dataDxfId="11"/>
    <tableColumn id="2" xr3:uid="{56B2039B-B0EE-47B0-B657-374665FEDF3D}" uniqueName="2" name="Employee Name" queryTableFieldId="2" dataDxfId="10"/>
    <tableColumn id="3" xr3:uid="{EA24CE86-1CFD-46D5-9FE9-8FCBF7868F60}" uniqueName="3" name="Department" queryTableFieldId="3" dataDxfId="9"/>
    <tableColumn id="4" xr3:uid="{4F2E4CE8-491E-4FE2-852C-BEC4FEFD707E}" uniqueName="4" name="Job Role" queryTableFieldId="4" dataDxfId="8"/>
    <tableColumn id="5" xr3:uid="{8A2879A9-C1F0-4F95-A52A-D922E54BDC7A}" uniqueName="5" name="Location" queryTableFieldId="5" dataDxfId="7"/>
    <tableColumn id="6" xr3:uid="{6DBE53A1-87A9-4CCF-9BA4-FB3716019F37}" uniqueName="6" name="Date" queryTableFieldId="6" dataDxfId="6"/>
    <tableColumn id="7" xr3:uid="{14FBF143-B8CA-4F00-B140-FF876934D54E}" uniqueName="7" name="Month" queryTableFieldId="7" dataDxfId="5"/>
    <tableColumn id="8" xr3:uid="{6819E8FE-7E0E-43B5-8AB9-94EC9E961814}" uniqueName="8" name="Attendance Status" queryTableFieldId="8" dataDxfId="4"/>
    <tableColumn id="9" xr3:uid="{2510429F-0977-4EAC-BA21-54C3A4FA65E2}" uniqueName="9" name="Working Hours" queryTableFieldId="9"/>
    <tableColumn id="10" xr3:uid="{B4AB944D-8C00-4021-8A7A-714CC27720E7}" uniqueName="10" name="Overtime Hours" queryTableFieldId="10"/>
    <tableColumn id="11" xr3:uid="{8DED99C9-09DF-49F0-9A29-BC95AAB30620}" uniqueName="11" name="Tasks Completed" queryTableFieldId="11"/>
    <tableColumn id="12" xr3:uid="{DAF1B468-B9D0-4464-BB3D-5009E148446B}" uniqueName="12" name="Performance Score" queryTableFieldId="12"/>
    <tableColumn id="13" xr3:uid="{FD10A25B-2702-4F52-8B78-D577B609152D}" uniqueName="13" name="Target Tasks" queryTableFieldId="13"/>
    <tableColumn id="14" xr3:uid="{A0514CE9-AA2B-45A4-A626-479CBC4F4023}" uniqueName="14" name="Achievement %" queryTableFieldId="14" dataCellStyle="Percent"/>
    <tableColumn id="15" xr3:uid="{CA1B27DB-21E5-40B5-9611-1230BF4840C1}" uniqueName="15" name="Salary" queryTableFieldId="15"/>
    <tableColumn id="16" xr3:uid="{CCA2B348-AC8F-4FF0-97E6-97ACAFA06F36}" uniqueName="16" name="Bonus Eligibility" queryTableFieldId="16" dataDxfId="3"/>
    <tableColumn id="17" xr3:uid="{02F49407-D01A-4C79-A109-CEF86C83F452}" uniqueName="17" name="Manager Rating" queryTableFieldId="17"/>
    <tableColumn id="18" xr3:uid="{868907A9-B181-4CCB-AEA6-B21BA0D2789B}" uniqueName="18" name="Remarks" queryTableFieldId="18" dataDxfId="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20482-D54A-4FA3-8F38-CB8D0BB59AD6}">
  <sheetPr codeName="Sheet2"/>
  <dimension ref="A1:J101"/>
  <sheetViews>
    <sheetView workbookViewId="0">
      <selection activeCell="K1" sqref="K1"/>
    </sheetView>
  </sheetViews>
  <sheetFormatPr defaultRowHeight="14.4" x14ac:dyDescent="0.3"/>
  <cols>
    <col min="1" max="1" width="13.33203125" bestFit="1" customWidth="1"/>
    <col min="2" max="2" width="15.77734375" bestFit="1" customWidth="1"/>
    <col min="3" max="3" width="9.33203125" bestFit="1" customWidth="1"/>
    <col min="4" max="4" width="9.88671875" bestFit="1" customWidth="1"/>
    <col min="5" max="5" width="9.6640625" bestFit="1" customWidth="1"/>
    <col min="6" max="6" width="13.33203125" bestFit="1" customWidth="1"/>
    <col min="7" max="7" width="18.44140625" bestFit="1" customWidth="1"/>
    <col min="8" max="8" width="13.5546875" bestFit="1" customWidth="1"/>
    <col min="9" max="9" width="18.21875" bestFit="1" customWidth="1"/>
    <col min="10" max="10" width="8.21875" bestFit="1" customWidth="1"/>
  </cols>
  <sheetData>
    <row r="1" spans="1:10" x14ac:dyDescent="0.3">
      <c r="A1" t="s">
        <v>20</v>
      </c>
      <c r="B1" t="s">
        <v>21</v>
      </c>
      <c r="C1" t="s">
        <v>22</v>
      </c>
      <c r="D1" t="s">
        <v>23</v>
      </c>
      <c r="E1" t="s">
        <v>24</v>
      </c>
      <c r="F1" t="s">
        <v>25</v>
      </c>
      <c r="G1" t="s">
        <v>26</v>
      </c>
      <c r="H1" t="s">
        <v>27</v>
      </c>
      <c r="I1" t="s">
        <v>28</v>
      </c>
      <c r="J1" t="s">
        <v>29</v>
      </c>
    </row>
    <row r="2" spans="1:10" x14ac:dyDescent="0.3">
      <c r="A2" t="s">
        <v>45</v>
      </c>
      <c r="B2" t="s">
        <v>46</v>
      </c>
      <c r="C2" t="s">
        <v>47</v>
      </c>
      <c r="D2" s="1">
        <v>32888</v>
      </c>
      <c r="E2" s="1">
        <v>43862</v>
      </c>
      <c r="F2" t="s">
        <v>18</v>
      </c>
      <c r="G2" t="s">
        <v>48</v>
      </c>
      <c r="H2" t="s">
        <v>49</v>
      </c>
      <c r="I2" t="s">
        <v>10</v>
      </c>
      <c r="J2" t="s">
        <v>50</v>
      </c>
    </row>
    <row r="3" spans="1:10" x14ac:dyDescent="0.3">
      <c r="A3" t="s">
        <v>51</v>
      </c>
      <c r="B3" t="s">
        <v>52</v>
      </c>
      <c r="C3" t="s">
        <v>53</v>
      </c>
      <c r="D3" s="1">
        <v>33685</v>
      </c>
      <c r="E3" s="1">
        <v>44270</v>
      </c>
      <c r="F3" t="s">
        <v>16</v>
      </c>
      <c r="G3" t="s">
        <v>54</v>
      </c>
      <c r="H3" t="s">
        <v>55</v>
      </c>
      <c r="I3" t="s">
        <v>10</v>
      </c>
      <c r="J3" t="s">
        <v>56</v>
      </c>
    </row>
    <row r="4" spans="1:10" x14ac:dyDescent="0.3">
      <c r="A4" t="s">
        <v>57</v>
      </c>
      <c r="B4" t="s">
        <v>58</v>
      </c>
      <c r="C4" t="s">
        <v>47</v>
      </c>
      <c r="D4" s="1">
        <v>32273</v>
      </c>
      <c r="E4" s="1">
        <v>43687</v>
      </c>
      <c r="F4" t="s">
        <v>17</v>
      </c>
      <c r="G4" t="s">
        <v>59</v>
      </c>
      <c r="H4" t="s">
        <v>60</v>
      </c>
      <c r="I4" t="s">
        <v>10</v>
      </c>
      <c r="J4" t="s">
        <v>50</v>
      </c>
    </row>
    <row r="5" spans="1:10" x14ac:dyDescent="0.3">
      <c r="A5" t="s">
        <v>61</v>
      </c>
      <c r="B5" t="s">
        <v>62</v>
      </c>
      <c r="C5" t="s">
        <v>53</v>
      </c>
      <c r="D5" s="1">
        <v>34885</v>
      </c>
      <c r="E5" s="1">
        <v>44713</v>
      </c>
      <c r="F5" t="s">
        <v>19</v>
      </c>
      <c r="G5" t="s">
        <v>63</v>
      </c>
      <c r="H5" t="s">
        <v>64</v>
      </c>
      <c r="I5" t="s">
        <v>12</v>
      </c>
      <c r="J5" t="s">
        <v>65</v>
      </c>
    </row>
    <row r="6" spans="1:10" x14ac:dyDescent="0.3">
      <c r="A6" t="s">
        <v>66</v>
      </c>
      <c r="B6" t="s">
        <v>67</v>
      </c>
      <c r="C6" t="s">
        <v>47</v>
      </c>
      <c r="D6" s="1">
        <v>33462</v>
      </c>
      <c r="E6" s="1">
        <v>44459</v>
      </c>
      <c r="F6" t="s">
        <v>18</v>
      </c>
      <c r="G6" t="s">
        <v>68</v>
      </c>
      <c r="H6" t="s">
        <v>49</v>
      </c>
      <c r="I6" t="s">
        <v>10</v>
      </c>
      <c r="J6" t="s">
        <v>69</v>
      </c>
    </row>
    <row r="7" spans="1:10" x14ac:dyDescent="0.3">
      <c r="A7" t="s">
        <v>70</v>
      </c>
      <c r="B7" t="s">
        <v>71</v>
      </c>
      <c r="C7" t="s">
        <v>53</v>
      </c>
      <c r="D7" s="1">
        <v>34292</v>
      </c>
      <c r="E7" s="1">
        <v>44907</v>
      </c>
      <c r="F7" t="s">
        <v>16</v>
      </c>
      <c r="G7" t="s">
        <v>72</v>
      </c>
      <c r="H7" t="s">
        <v>55</v>
      </c>
      <c r="I7" t="s">
        <v>10</v>
      </c>
      <c r="J7" t="s">
        <v>69</v>
      </c>
    </row>
    <row r="8" spans="1:10" x14ac:dyDescent="0.3">
      <c r="A8" t="s">
        <v>73</v>
      </c>
      <c r="B8" t="s">
        <v>74</v>
      </c>
      <c r="C8" t="s">
        <v>47</v>
      </c>
      <c r="D8" s="1">
        <v>32867</v>
      </c>
      <c r="E8" s="1">
        <v>43105</v>
      </c>
      <c r="F8" t="s">
        <v>17</v>
      </c>
      <c r="G8" t="s">
        <v>75</v>
      </c>
      <c r="H8" t="s">
        <v>60</v>
      </c>
      <c r="I8" t="s">
        <v>10</v>
      </c>
      <c r="J8" t="s">
        <v>50</v>
      </c>
    </row>
    <row r="9" spans="1:10" x14ac:dyDescent="0.3">
      <c r="A9" t="s">
        <v>76</v>
      </c>
      <c r="B9" t="s">
        <v>77</v>
      </c>
      <c r="C9" t="s">
        <v>53</v>
      </c>
      <c r="D9" s="1">
        <v>35368</v>
      </c>
      <c r="E9" s="1">
        <v>45122</v>
      </c>
      <c r="F9" t="s">
        <v>19</v>
      </c>
      <c r="G9" t="s">
        <v>78</v>
      </c>
      <c r="H9" t="s">
        <v>64</v>
      </c>
      <c r="I9" t="s">
        <v>10</v>
      </c>
      <c r="J9" t="s">
        <v>69</v>
      </c>
    </row>
    <row r="10" spans="1:10" x14ac:dyDescent="0.3">
      <c r="A10" t="s">
        <v>79</v>
      </c>
      <c r="B10" t="s">
        <v>80</v>
      </c>
      <c r="C10" t="s">
        <v>47</v>
      </c>
      <c r="D10" s="1">
        <v>34373</v>
      </c>
      <c r="E10" s="1">
        <v>44844</v>
      </c>
      <c r="F10" t="s">
        <v>18</v>
      </c>
      <c r="G10" t="s">
        <v>48</v>
      </c>
      <c r="H10" t="s">
        <v>49</v>
      </c>
      <c r="I10" t="s">
        <v>11</v>
      </c>
      <c r="J10" t="s">
        <v>56</v>
      </c>
    </row>
    <row r="11" spans="1:10" x14ac:dyDescent="0.3">
      <c r="A11" t="s">
        <v>81</v>
      </c>
      <c r="B11" t="s">
        <v>82</v>
      </c>
      <c r="C11" t="s">
        <v>53</v>
      </c>
      <c r="D11" s="1">
        <v>35534</v>
      </c>
      <c r="E11" s="1">
        <v>45231</v>
      </c>
      <c r="F11" t="s">
        <v>17</v>
      </c>
      <c r="G11" t="s">
        <v>59</v>
      </c>
      <c r="H11" t="s">
        <v>60</v>
      </c>
      <c r="I11" t="s">
        <v>13</v>
      </c>
      <c r="J11" t="s">
        <v>65</v>
      </c>
    </row>
    <row r="12" spans="1:10" x14ac:dyDescent="0.3">
      <c r="A12" t="s">
        <v>83</v>
      </c>
      <c r="B12" t="s">
        <v>84</v>
      </c>
      <c r="C12" t="s">
        <v>47</v>
      </c>
      <c r="D12" s="1">
        <v>32889</v>
      </c>
      <c r="E12" s="1">
        <v>43863</v>
      </c>
      <c r="F12" t="s">
        <v>18</v>
      </c>
      <c r="G12" t="s">
        <v>48</v>
      </c>
      <c r="H12" t="s">
        <v>49</v>
      </c>
      <c r="I12" t="s">
        <v>10</v>
      </c>
      <c r="J12" t="s">
        <v>50</v>
      </c>
    </row>
    <row r="13" spans="1:10" x14ac:dyDescent="0.3">
      <c r="A13" t="s">
        <v>85</v>
      </c>
      <c r="B13" t="s">
        <v>86</v>
      </c>
      <c r="C13" t="s">
        <v>53</v>
      </c>
      <c r="D13" s="1">
        <v>33686</v>
      </c>
      <c r="E13" s="1">
        <v>44271</v>
      </c>
      <c r="F13" t="s">
        <v>16</v>
      </c>
      <c r="G13" t="s">
        <v>54</v>
      </c>
      <c r="H13" t="s">
        <v>55</v>
      </c>
      <c r="I13" t="s">
        <v>10</v>
      </c>
      <c r="J13" t="s">
        <v>56</v>
      </c>
    </row>
    <row r="14" spans="1:10" x14ac:dyDescent="0.3">
      <c r="A14" t="s">
        <v>87</v>
      </c>
      <c r="B14" t="s">
        <v>88</v>
      </c>
      <c r="C14" t="s">
        <v>47</v>
      </c>
      <c r="D14" s="1">
        <v>32274</v>
      </c>
      <c r="E14" s="1">
        <v>43688</v>
      </c>
      <c r="F14" t="s">
        <v>17</v>
      </c>
      <c r="G14" t="s">
        <v>59</v>
      </c>
      <c r="H14" t="s">
        <v>60</v>
      </c>
      <c r="I14" t="s">
        <v>10</v>
      </c>
      <c r="J14" t="s">
        <v>50</v>
      </c>
    </row>
    <row r="15" spans="1:10" x14ac:dyDescent="0.3">
      <c r="A15" t="s">
        <v>89</v>
      </c>
      <c r="B15" t="s">
        <v>90</v>
      </c>
      <c r="C15" t="s">
        <v>53</v>
      </c>
      <c r="D15" s="1">
        <v>34886</v>
      </c>
      <c r="E15" s="1">
        <v>44714</v>
      </c>
      <c r="F15" t="s">
        <v>19</v>
      </c>
      <c r="G15" t="s">
        <v>63</v>
      </c>
      <c r="H15" t="s">
        <v>64</v>
      </c>
      <c r="I15" t="s">
        <v>12</v>
      </c>
      <c r="J15" t="s">
        <v>65</v>
      </c>
    </row>
    <row r="16" spans="1:10" x14ac:dyDescent="0.3">
      <c r="A16" t="s">
        <v>91</v>
      </c>
      <c r="B16" t="s">
        <v>92</v>
      </c>
      <c r="C16" t="s">
        <v>47</v>
      </c>
      <c r="D16" s="1">
        <v>33463</v>
      </c>
      <c r="E16" s="1">
        <v>44460</v>
      </c>
      <c r="F16" t="s">
        <v>18</v>
      </c>
      <c r="G16" t="s">
        <v>68</v>
      </c>
      <c r="H16" t="s">
        <v>49</v>
      </c>
      <c r="I16" t="s">
        <v>10</v>
      </c>
      <c r="J16" t="s">
        <v>69</v>
      </c>
    </row>
    <row r="17" spans="1:10" x14ac:dyDescent="0.3">
      <c r="A17" t="s">
        <v>93</v>
      </c>
      <c r="B17" t="s">
        <v>94</v>
      </c>
      <c r="C17" t="s">
        <v>53</v>
      </c>
      <c r="D17" s="1">
        <v>34293</v>
      </c>
      <c r="E17" s="1">
        <v>44908</v>
      </c>
      <c r="F17" t="s">
        <v>16</v>
      </c>
      <c r="G17" t="s">
        <v>72</v>
      </c>
      <c r="H17" t="s">
        <v>55</v>
      </c>
      <c r="I17" t="s">
        <v>10</v>
      </c>
      <c r="J17" t="s">
        <v>69</v>
      </c>
    </row>
    <row r="18" spans="1:10" x14ac:dyDescent="0.3">
      <c r="A18" t="s">
        <v>95</v>
      </c>
      <c r="B18" t="s">
        <v>96</v>
      </c>
      <c r="C18" t="s">
        <v>47</v>
      </c>
      <c r="D18" s="1">
        <v>32868</v>
      </c>
      <c r="E18" s="1">
        <v>43106</v>
      </c>
      <c r="F18" t="s">
        <v>17</v>
      </c>
      <c r="G18" t="s">
        <v>75</v>
      </c>
      <c r="H18" t="s">
        <v>60</v>
      </c>
      <c r="I18" t="s">
        <v>10</v>
      </c>
      <c r="J18" t="s">
        <v>50</v>
      </c>
    </row>
    <row r="19" spans="1:10" x14ac:dyDescent="0.3">
      <c r="A19" t="s">
        <v>97</v>
      </c>
      <c r="B19" t="s">
        <v>98</v>
      </c>
      <c r="C19" t="s">
        <v>53</v>
      </c>
      <c r="D19" s="1">
        <v>35369</v>
      </c>
      <c r="E19" s="1">
        <v>45123</v>
      </c>
      <c r="F19" t="s">
        <v>19</v>
      </c>
      <c r="G19" t="s">
        <v>78</v>
      </c>
      <c r="H19" t="s">
        <v>64</v>
      </c>
      <c r="I19" t="s">
        <v>10</v>
      </c>
      <c r="J19" t="s">
        <v>69</v>
      </c>
    </row>
    <row r="20" spans="1:10" x14ac:dyDescent="0.3">
      <c r="A20" t="s">
        <v>99</v>
      </c>
      <c r="B20" t="s">
        <v>100</v>
      </c>
      <c r="C20" t="s">
        <v>47</v>
      </c>
      <c r="D20" s="1">
        <v>34374</v>
      </c>
      <c r="E20" s="1">
        <v>44845</v>
      </c>
      <c r="F20" t="s">
        <v>18</v>
      </c>
      <c r="G20" t="s">
        <v>48</v>
      </c>
      <c r="H20" t="s">
        <v>49</v>
      </c>
      <c r="I20" t="s">
        <v>11</v>
      </c>
      <c r="J20" t="s">
        <v>56</v>
      </c>
    </row>
    <row r="21" spans="1:10" x14ac:dyDescent="0.3">
      <c r="A21" t="s">
        <v>101</v>
      </c>
      <c r="B21" t="s">
        <v>102</v>
      </c>
      <c r="C21" t="s">
        <v>53</v>
      </c>
      <c r="D21" s="1">
        <v>35535</v>
      </c>
      <c r="E21" s="1">
        <v>45232</v>
      </c>
      <c r="F21" t="s">
        <v>17</v>
      </c>
      <c r="G21" t="s">
        <v>59</v>
      </c>
      <c r="H21" t="s">
        <v>60</v>
      </c>
      <c r="I21" t="s">
        <v>13</v>
      </c>
      <c r="J21" t="s">
        <v>65</v>
      </c>
    </row>
    <row r="22" spans="1:10" x14ac:dyDescent="0.3">
      <c r="A22" t="s">
        <v>103</v>
      </c>
      <c r="B22" t="s">
        <v>104</v>
      </c>
      <c r="C22" t="s">
        <v>47</v>
      </c>
      <c r="D22" s="1">
        <v>32890</v>
      </c>
      <c r="E22" s="1">
        <v>43864</v>
      </c>
      <c r="F22" t="s">
        <v>18</v>
      </c>
      <c r="G22" t="s">
        <v>48</v>
      </c>
      <c r="H22" t="s">
        <v>49</v>
      </c>
      <c r="I22" t="s">
        <v>10</v>
      </c>
      <c r="J22" t="s">
        <v>50</v>
      </c>
    </row>
    <row r="23" spans="1:10" x14ac:dyDescent="0.3">
      <c r="A23" t="s">
        <v>105</v>
      </c>
      <c r="B23" t="s">
        <v>106</v>
      </c>
      <c r="C23" t="s">
        <v>53</v>
      </c>
      <c r="D23" s="1">
        <v>33687</v>
      </c>
      <c r="E23" s="1">
        <v>44272</v>
      </c>
      <c r="F23" t="s">
        <v>16</v>
      </c>
      <c r="G23" t="s">
        <v>54</v>
      </c>
      <c r="H23" t="s">
        <v>55</v>
      </c>
      <c r="I23" t="s">
        <v>10</v>
      </c>
      <c r="J23" t="s">
        <v>56</v>
      </c>
    </row>
    <row r="24" spans="1:10" x14ac:dyDescent="0.3">
      <c r="A24" t="s">
        <v>107</v>
      </c>
      <c r="B24" t="s">
        <v>108</v>
      </c>
      <c r="C24" t="s">
        <v>47</v>
      </c>
      <c r="D24" s="1">
        <v>32275</v>
      </c>
      <c r="E24" s="1">
        <v>43689</v>
      </c>
      <c r="F24" t="s">
        <v>17</v>
      </c>
      <c r="G24" t="s">
        <v>59</v>
      </c>
      <c r="H24" t="s">
        <v>60</v>
      </c>
      <c r="I24" t="s">
        <v>10</v>
      </c>
      <c r="J24" t="s">
        <v>50</v>
      </c>
    </row>
    <row r="25" spans="1:10" x14ac:dyDescent="0.3">
      <c r="A25" t="s">
        <v>109</v>
      </c>
      <c r="B25" t="s">
        <v>110</v>
      </c>
      <c r="C25" t="s">
        <v>53</v>
      </c>
      <c r="D25" s="1">
        <v>34887</v>
      </c>
      <c r="E25" s="1">
        <v>44715</v>
      </c>
      <c r="F25" t="s">
        <v>19</v>
      </c>
      <c r="G25" t="s">
        <v>63</v>
      </c>
      <c r="H25" t="s">
        <v>64</v>
      </c>
      <c r="I25" t="s">
        <v>12</v>
      </c>
      <c r="J25" t="s">
        <v>65</v>
      </c>
    </row>
    <row r="26" spans="1:10" x14ac:dyDescent="0.3">
      <c r="A26" t="s">
        <v>111</v>
      </c>
      <c r="B26" t="s">
        <v>112</v>
      </c>
      <c r="C26" t="s">
        <v>47</v>
      </c>
      <c r="D26" s="1">
        <v>33464</v>
      </c>
      <c r="E26" s="1">
        <v>44461</v>
      </c>
      <c r="F26" t="s">
        <v>18</v>
      </c>
      <c r="G26" t="s">
        <v>68</v>
      </c>
      <c r="H26" t="s">
        <v>49</v>
      </c>
      <c r="I26" t="s">
        <v>10</v>
      </c>
      <c r="J26" t="s">
        <v>69</v>
      </c>
    </row>
    <row r="27" spans="1:10" x14ac:dyDescent="0.3">
      <c r="A27" t="s">
        <v>113</v>
      </c>
      <c r="B27" t="s">
        <v>114</v>
      </c>
      <c r="C27" t="s">
        <v>53</v>
      </c>
      <c r="D27" s="1">
        <v>34294</v>
      </c>
      <c r="E27" s="1">
        <v>44909</v>
      </c>
      <c r="F27" t="s">
        <v>16</v>
      </c>
      <c r="G27" t="s">
        <v>72</v>
      </c>
      <c r="H27" t="s">
        <v>55</v>
      </c>
      <c r="I27" t="s">
        <v>10</v>
      </c>
      <c r="J27" t="s">
        <v>69</v>
      </c>
    </row>
    <row r="28" spans="1:10" x14ac:dyDescent="0.3">
      <c r="A28" t="s">
        <v>115</v>
      </c>
      <c r="B28" t="s">
        <v>116</v>
      </c>
      <c r="C28" t="s">
        <v>47</v>
      </c>
      <c r="D28" s="1">
        <v>32869</v>
      </c>
      <c r="E28" s="1">
        <v>43107</v>
      </c>
      <c r="F28" t="s">
        <v>17</v>
      </c>
      <c r="G28" t="s">
        <v>75</v>
      </c>
      <c r="H28" t="s">
        <v>60</v>
      </c>
      <c r="I28" t="s">
        <v>10</v>
      </c>
      <c r="J28" t="s">
        <v>50</v>
      </c>
    </row>
    <row r="29" spans="1:10" x14ac:dyDescent="0.3">
      <c r="A29" t="s">
        <v>117</v>
      </c>
      <c r="B29" t="s">
        <v>118</v>
      </c>
      <c r="C29" t="s">
        <v>53</v>
      </c>
      <c r="D29" s="1">
        <v>35370</v>
      </c>
      <c r="E29" s="1">
        <v>45124</v>
      </c>
      <c r="F29" t="s">
        <v>19</v>
      </c>
      <c r="G29" t="s">
        <v>78</v>
      </c>
      <c r="H29" t="s">
        <v>64</v>
      </c>
      <c r="I29" t="s">
        <v>10</v>
      </c>
      <c r="J29" t="s">
        <v>69</v>
      </c>
    </row>
    <row r="30" spans="1:10" x14ac:dyDescent="0.3">
      <c r="A30" t="s">
        <v>119</v>
      </c>
      <c r="B30" t="s">
        <v>120</v>
      </c>
      <c r="C30" t="s">
        <v>47</v>
      </c>
      <c r="D30" s="1">
        <v>34375</v>
      </c>
      <c r="E30" s="1">
        <v>44846</v>
      </c>
      <c r="F30" t="s">
        <v>18</v>
      </c>
      <c r="G30" t="s">
        <v>48</v>
      </c>
      <c r="H30" t="s">
        <v>49</v>
      </c>
      <c r="I30" t="s">
        <v>11</v>
      </c>
      <c r="J30" t="s">
        <v>56</v>
      </c>
    </row>
    <row r="31" spans="1:10" x14ac:dyDescent="0.3">
      <c r="A31" t="s">
        <v>121</v>
      </c>
      <c r="B31" t="s">
        <v>122</v>
      </c>
      <c r="C31" t="s">
        <v>53</v>
      </c>
      <c r="D31" s="1">
        <v>35536</v>
      </c>
      <c r="E31" s="1">
        <v>45233</v>
      </c>
      <c r="F31" t="s">
        <v>17</v>
      </c>
      <c r="G31" t="s">
        <v>59</v>
      </c>
      <c r="H31" t="s">
        <v>60</v>
      </c>
      <c r="I31" t="s">
        <v>13</v>
      </c>
      <c r="J31" t="s">
        <v>65</v>
      </c>
    </row>
    <row r="32" spans="1:10" x14ac:dyDescent="0.3">
      <c r="A32" t="s">
        <v>123</v>
      </c>
      <c r="B32" t="s">
        <v>124</v>
      </c>
      <c r="C32" t="s">
        <v>47</v>
      </c>
      <c r="D32" s="1">
        <v>32891</v>
      </c>
      <c r="E32" s="1">
        <v>43865</v>
      </c>
      <c r="F32" t="s">
        <v>18</v>
      </c>
      <c r="G32" t="s">
        <v>48</v>
      </c>
      <c r="H32" t="s">
        <v>49</v>
      </c>
      <c r="I32" t="s">
        <v>10</v>
      </c>
      <c r="J32" t="s">
        <v>50</v>
      </c>
    </row>
    <row r="33" spans="1:10" x14ac:dyDescent="0.3">
      <c r="A33" t="s">
        <v>125</v>
      </c>
      <c r="B33" t="s">
        <v>126</v>
      </c>
      <c r="C33" t="s">
        <v>53</v>
      </c>
      <c r="D33" s="1">
        <v>33688</v>
      </c>
      <c r="E33" s="1">
        <v>44273</v>
      </c>
      <c r="F33" t="s">
        <v>16</v>
      </c>
      <c r="G33" t="s">
        <v>54</v>
      </c>
      <c r="H33" t="s">
        <v>55</v>
      </c>
      <c r="I33" t="s">
        <v>10</v>
      </c>
      <c r="J33" t="s">
        <v>56</v>
      </c>
    </row>
    <row r="34" spans="1:10" x14ac:dyDescent="0.3">
      <c r="A34" t="s">
        <v>127</v>
      </c>
      <c r="B34" t="s">
        <v>128</v>
      </c>
      <c r="C34" t="s">
        <v>47</v>
      </c>
      <c r="D34" s="1">
        <v>32276</v>
      </c>
      <c r="E34" s="1">
        <v>43690</v>
      </c>
      <c r="F34" t="s">
        <v>17</v>
      </c>
      <c r="G34" t="s">
        <v>59</v>
      </c>
      <c r="H34" t="s">
        <v>60</v>
      </c>
      <c r="I34" t="s">
        <v>10</v>
      </c>
      <c r="J34" t="s">
        <v>50</v>
      </c>
    </row>
    <row r="35" spans="1:10" x14ac:dyDescent="0.3">
      <c r="A35" t="s">
        <v>129</v>
      </c>
      <c r="B35" t="s">
        <v>130</v>
      </c>
      <c r="C35" t="s">
        <v>53</v>
      </c>
      <c r="D35" s="1">
        <v>34888</v>
      </c>
      <c r="E35" s="1">
        <v>44716</v>
      </c>
      <c r="F35" t="s">
        <v>19</v>
      </c>
      <c r="G35" t="s">
        <v>63</v>
      </c>
      <c r="H35" t="s">
        <v>64</v>
      </c>
      <c r="I35" t="s">
        <v>12</v>
      </c>
      <c r="J35" t="s">
        <v>65</v>
      </c>
    </row>
    <row r="36" spans="1:10" x14ac:dyDescent="0.3">
      <c r="A36" t="s">
        <v>131</v>
      </c>
      <c r="B36" t="s">
        <v>132</v>
      </c>
      <c r="C36" t="s">
        <v>47</v>
      </c>
      <c r="D36" s="1">
        <v>33465</v>
      </c>
      <c r="E36" s="1">
        <v>44462</v>
      </c>
      <c r="F36" t="s">
        <v>18</v>
      </c>
      <c r="G36" t="s">
        <v>68</v>
      </c>
      <c r="H36" t="s">
        <v>49</v>
      </c>
      <c r="I36" t="s">
        <v>10</v>
      </c>
      <c r="J36" t="s">
        <v>69</v>
      </c>
    </row>
    <row r="37" spans="1:10" x14ac:dyDescent="0.3">
      <c r="A37" t="s">
        <v>133</v>
      </c>
      <c r="B37" t="s">
        <v>134</v>
      </c>
      <c r="C37" t="s">
        <v>53</v>
      </c>
      <c r="D37" s="1">
        <v>34295</v>
      </c>
      <c r="E37" s="1">
        <v>44910</v>
      </c>
      <c r="F37" t="s">
        <v>16</v>
      </c>
      <c r="G37" t="s">
        <v>72</v>
      </c>
      <c r="H37" t="s">
        <v>55</v>
      </c>
      <c r="I37" t="s">
        <v>10</v>
      </c>
      <c r="J37" t="s">
        <v>69</v>
      </c>
    </row>
    <row r="38" spans="1:10" x14ac:dyDescent="0.3">
      <c r="A38" t="s">
        <v>135</v>
      </c>
      <c r="B38" t="s">
        <v>136</v>
      </c>
      <c r="C38" t="s">
        <v>47</v>
      </c>
      <c r="D38" s="1">
        <v>32870</v>
      </c>
      <c r="E38" s="1">
        <v>43108</v>
      </c>
      <c r="F38" t="s">
        <v>17</v>
      </c>
      <c r="G38" t="s">
        <v>75</v>
      </c>
      <c r="H38" t="s">
        <v>60</v>
      </c>
      <c r="I38" t="s">
        <v>10</v>
      </c>
      <c r="J38" t="s">
        <v>50</v>
      </c>
    </row>
    <row r="39" spans="1:10" x14ac:dyDescent="0.3">
      <c r="A39" t="s">
        <v>137</v>
      </c>
      <c r="B39" t="s">
        <v>138</v>
      </c>
      <c r="C39" t="s">
        <v>53</v>
      </c>
      <c r="D39" s="1">
        <v>35371</v>
      </c>
      <c r="E39" s="1">
        <v>45125</v>
      </c>
      <c r="F39" t="s">
        <v>19</v>
      </c>
      <c r="G39" t="s">
        <v>78</v>
      </c>
      <c r="H39" t="s">
        <v>64</v>
      </c>
      <c r="I39" t="s">
        <v>10</v>
      </c>
      <c r="J39" t="s">
        <v>69</v>
      </c>
    </row>
    <row r="40" spans="1:10" x14ac:dyDescent="0.3">
      <c r="A40" t="s">
        <v>139</v>
      </c>
      <c r="B40" t="s">
        <v>140</v>
      </c>
      <c r="C40" t="s">
        <v>47</v>
      </c>
      <c r="D40" s="1">
        <v>34376</v>
      </c>
      <c r="E40" s="1">
        <v>44847</v>
      </c>
      <c r="F40" t="s">
        <v>18</v>
      </c>
      <c r="G40" t="s">
        <v>48</v>
      </c>
      <c r="H40" t="s">
        <v>49</v>
      </c>
      <c r="I40" t="s">
        <v>11</v>
      </c>
      <c r="J40" t="s">
        <v>56</v>
      </c>
    </row>
    <row r="41" spans="1:10" x14ac:dyDescent="0.3">
      <c r="A41" t="s">
        <v>141</v>
      </c>
      <c r="B41" t="s">
        <v>142</v>
      </c>
      <c r="C41" t="s">
        <v>53</v>
      </c>
      <c r="D41" s="1">
        <v>35537</v>
      </c>
      <c r="E41" s="1">
        <v>45234</v>
      </c>
      <c r="F41" t="s">
        <v>17</v>
      </c>
      <c r="G41" t="s">
        <v>59</v>
      </c>
      <c r="H41" t="s">
        <v>60</v>
      </c>
      <c r="I41" t="s">
        <v>13</v>
      </c>
      <c r="J41" t="s">
        <v>65</v>
      </c>
    </row>
    <row r="42" spans="1:10" x14ac:dyDescent="0.3">
      <c r="A42" t="s">
        <v>143</v>
      </c>
      <c r="B42" t="s">
        <v>144</v>
      </c>
      <c r="C42" t="s">
        <v>47</v>
      </c>
      <c r="D42" s="1">
        <v>32892</v>
      </c>
      <c r="E42" s="1">
        <v>43866</v>
      </c>
      <c r="F42" t="s">
        <v>18</v>
      </c>
      <c r="G42" t="s">
        <v>48</v>
      </c>
      <c r="H42" t="s">
        <v>49</v>
      </c>
      <c r="I42" t="s">
        <v>10</v>
      </c>
      <c r="J42" t="s">
        <v>50</v>
      </c>
    </row>
    <row r="43" spans="1:10" x14ac:dyDescent="0.3">
      <c r="A43" t="s">
        <v>145</v>
      </c>
      <c r="B43" t="s">
        <v>146</v>
      </c>
      <c r="C43" t="s">
        <v>53</v>
      </c>
      <c r="D43" s="1">
        <v>33689</v>
      </c>
      <c r="E43" s="1">
        <v>44274</v>
      </c>
      <c r="F43" t="s">
        <v>16</v>
      </c>
      <c r="G43" t="s">
        <v>54</v>
      </c>
      <c r="H43" t="s">
        <v>55</v>
      </c>
      <c r="I43" t="s">
        <v>10</v>
      </c>
      <c r="J43" t="s">
        <v>56</v>
      </c>
    </row>
    <row r="44" spans="1:10" x14ac:dyDescent="0.3">
      <c r="A44" t="s">
        <v>147</v>
      </c>
      <c r="B44" t="s">
        <v>148</v>
      </c>
      <c r="C44" t="s">
        <v>47</v>
      </c>
      <c r="D44" s="1">
        <v>32277</v>
      </c>
      <c r="E44" s="1">
        <v>43691</v>
      </c>
      <c r="F44" t="s">
        <v>17</v>
      </c>
      <c r="G44" t="s">
        <v>59</v>
      </c>
      <c r="H44" t="s">
        <v>60</v>
      </c>
      <c r="I44" t="s">
        <v>10</v>
      </c>
      <c r="J44" t="s">
        <v>50</v>
      </c>
    </row>
    <row r="45" spans="1:10" x14ac:dyDescent="0.3">
      <c r="A45" t="s">
        <v>149</v>
      </c>
      <c r="B45" t="s">
        <v>150</v>
      </c>
      <c r="C45" t="s">
        <v>53</v>
      </c>
      <c r="D45" s="1">
        <v>34889</v>
      </c>
      <c r="E45" s="1">
        <v>44717</v>
      </c>
      <c r="F45" t="s">
        <v>19</v>
      </c>
      <c r="G45" t="s">
        <v>63</v>
      </c>
      <c r="H45" t="s">
        <v>64</v>
      </c>
      <c r="I45" t="s">
        <v>12</v>
      </c>
      <c r="J45" t="s">
        <v>65</v>
      </c>
    </row>
    <row r="46" spans="1:10" x14ac:dyDescent="0.3">
      <c r="A46" t="s">
        <v>151</v>
      </c>
      <c r="B46" t="s">
        <v>152</v>
      </c>
      <c r="C46" t="s">
        <v>47</v>
      </c>
      <c r="D46" s="1">
        <v>33466</v>
      </c>
      <c r="E46" s="1">
        <v>44463</v>
      </c>
      <c r="F46" t="s">
        <v>18</v>
      </c>
      <c r="G46" t="s">
        <v>68</v>
      </c>
      <c r="H46" t="s">
        <v>49</v>
      </c>
      <c r="I46" t="s">
        <v>10</v>
      </c>
      <c r="J46" t="s">
        <v>69</v>
      </c>
    </row>
    <row r="47" spans="1:10" x14ac:dyDescent="0.3">
      <c r="A47" t="s">
        <v>153</v>
      </c>
      <c r="B47" t="s">
        <v>154</v>
      </c>
      <c r="C47" t="s">
        <v>53</v>
      </c>
      <c r="D47" s="1">
        <v>34296</v>
      </c>
      <c r="E47" s="1">
        <v>44911</v>
      </c>
      <c r="F47" t="s">
        <v>16</v>
      </c>
      <c r="G47" t="s">
        <v>72</v>
      </c>
      <c r="H47" t="s">
        <v>55</v>
      </c>
      <c r="I47" t="s">
        <v>10</v>
      </c>
      <c r="J47" t="s">
        <v>69</v>
      </c>
    </row>
    <row r="48" spans="1:10" x14ac:dyDescent="0.3">
      <c r="A48" t="s">
        <v>155</v>
      </c>
      <c r="B48" t="s">
        <v>156</v>
      </c>
      <c r="C48" t="s">
        <v>47</v>
      </c>
      <c r="D48" s="1">
        <v>32871</v>
      </c>
      <c r="E48" s="1">
        <v>43109</v>
      </c>
      <c r="F48" t="s">
        <v>17</v>
      </c>
      <c r="G48" t="s">
        <v>75</v>
      </c>
      <c r="H48" t="s">
        <v>60</v>
      </c>
      <c r="I48" t="s">
        <v>10</v>
      </c>
      <c r="J48" t="s">
        <v>50</v>
      </c>
    </row>
    <row r="49" spans="1:10" x14ac:dyDescent="0.3">
      <c r="A49" t="s">
        <v>157</v>
      </c>
      <c r="B49" t="s">
        <v>158</v>
      </c>
      <c r="C49" t="s">
        <v>53</v>
      </c>
      <c r="D49" s="1">
        <v>35372</v>
      </c>
      <c r="E49" s="1">
        <v>45126</v>
      </c>
      <c r="F49" t="s">
        <v>19</v>
      </c>
      <c r="G49" t="s">
        <v>78</v>
      </c>
      <c r="H49" t="s">
        <v>64</v>
      </c>
      <c r="I49" t="s">
        <v>10</v>
      </c>
      <c r="J49" t="s">
        <v>69</v>
      </c>
    </row>
    <row r="50" spans="1:10" x14ac:dyDescent="0.3">
      <c r="A50" t="s">
        <v>159</v>
      </c>
      <c r="B50" t="s">
        <v>160</v>
      </c>
      <c r="C50" t="s">
        <v>47</v>
      </c>
      <c r="D50" s="1">
        <v>34377</v>
      </c>
      <c r="E50" s="1">
        <v>44848</v>
      </c>
      <c r="F50" t="s">
        <v>18</v>
      </c>
      <c r="G50" t="s">
        <v>48</v>
      </c>
      <c r="H50" t="s">
        <v>49</v>
      </c>
      <c r="I50" t="s">
        <v>11</v>
      </c>
      <c r="J50" t="s">
        <v>56</v>
      </c>
    </row>
    <row r="51" spans="1:10" x14ac:dyDescent="0.3">
      <c r="A51" t="s">
        <v>161</v>
      </c>
      <c r="B51" t="s">
        <v>162</v>
      </c>
      <c r="C51" t="s">
        <v>53</v>
      </c>
      <c r="D51" s="1">
        <v>35538</v>
      </c>
      <c r="E51" s="1">
        <v>45235</v>
      </c>
      <c r="F51" t="s">
        <v>17</v>
      </c>
      <c r="G51" t="s">
        <v>59</v>
      </c>
      <c r="H51" t="s">
        <v>60</v>
      </c>
      <c r="I51" t="s">
        <v>13</v>
      </c>
      <c r="J51" t="s">
        <v>65</v>
      </c>
    </row>
    <row r="52" spans="1:10" x14ac:dyDescent="0.3">
      <c r="A52" t="s">
        <v>163</v>
      </c>
      <c r="B52" t="s">
        <v>164</v>
      </c>
      <c r="C52" t="s">
        <v>47</v>
      </c>
      <c r="D52" s="1">
        <v>32893</v>
      </c>
      <c r="E52" s="1">
        <v>43867</v>
      </c>
      <c r="F52" t="s">
        <v>18</v>
      </c>
      <c r="G52" t="s">
        <v>48</v>
      </c>
      <c r="H52" t="s">
        <v>49</v>
      </c>
      <c r="I52" t="s">
        <v>10</v>
      </c>
      <c r="J52" t="s">
        <v>50</v>
      </c>
    </row>
    <row r="53" spans="1:10" x14ac:dyDescent="0.3">
      <c r="A53" t="s">
        <v>165</v>
      </c>
      <c r="B53" t="s">
        <v>166</v>
      </c>
      <c r="C53" t="s">
        <v>53</v>
      </c>
      <c r="D53" s="1">
        <v>33690</v>
      </c>
      <c r="E53" s="1">
        <v>44275</v>
      </c>
      <c r="F53" t="s">
        <v>16</v>
      </c>
      <c r="G53" t="s">
        <v>54</v>
      </c>
      <c r="H53" t="s">
        <v>55</v>
      </c>
      <c r="I53" t="s">
        <v>10</v>
      </c>
      <c r="J53" t="s">
        <v>56</v>
      </c>
    </row>
    <row r="54" spans="1:10" x14ac:dyDescent="0.3">
      <c r="A54" t="s">
        <v>167</v>
      </c>
      <c r="B54" t="s">
        <v>168</v>
      </c>
      <c r="C54" t="s">
        <v>47</v>
      </c>
      <c r="D54" s="1">
        <v>32278</v>
      </c>
      <c r="E54" s="1">
        <v>43692</v>
      </c>
      <c r="F54" t="s">
        <v>17</v>
      </c>
      <c r="G54" t="s">
        <v>59</v>
      </c>
      <c r="H54" t="s">
        <v>60</v>
      </c>
      <c r="I54" t="s">
        <v>10</v>
      </c>
      <c r="J54" t="s">
        <v>50</v>
      </c>
    </row>
    <row r="55" spans="1:10" x14ac:dyDescent="0.3">
      <c r="A55" t="s">
        <v>169</v>
      </c>
      <c r="B55" t="s">
        <v>170</v>
      </c>
      <c r="C55" t="s">
        <v>53</v>
      </c>
      <c r="D55" s="1">
        <v>34890</v>
      </c>
      <c r="E55" s="1">
        <v>44718</v>
      </c>
      <c r="F55" t="s">
        <v>19</v>
      </c>
      <c r="G55" t="s">
        <v>63</v>
      </c>
      <c r="H55" t="s">
        <v>64</v>
      </c>
      <c r="I55" t="s">
        <v>12</v>
      </c>
      <c r="J55" t="s">
        <v>65</v>
      </c>
    </row>
    <row r="56" spans="1:10" x14ac:dyDescent="0.3">
      <c r="A56" t="s">
        <v>171</v>
      </c>
      <c r="B56" t="s">
        <v>172</v>
      </c>
      <c r="C56" t="s">
        <v>47</v>
      </c>
      <c r="D56" s="1">
        <v>33467</v>
      </c>
      <c r="E56" s="1">
        <v>44464</v>
      </c>
      <c r="F56" t="s">
        <v>18</v>
      </c>
      <c r="G56" t="s">
        <v>68</v>
      </c>
      <c r="H56" t="s">
        <v>49</v>
      </c>
      <c r="I56" t="s">
        <v>10</v>
      </c>
      <c r="J56" t="s">
        <v>69</v>
      </c>
    </row>
    <row r="57" spans="1:10" x14ac:dyDescent="0.3">
      <c r="A57" t="s">
        <v>173</v>
      </c>
      <c r="B57" t="s">
        <v>174</v>
      </c>
      <c r="C57" t="s">
        <v>53</v>
      </c>
      <c r="D57" s="1">
        <v>34297</v>
      </c>
      <c r="E57" s="1">
        <v>44912</v>
      </c>
      <c r="F57" t="s">
        <v>16</v>
      </c>
      <c r="G57" t="s">
        <v>72</v>
      </c>
      <c r="H57" t="s">
        <v>55</v>
      </c>
      <c r="I57" t="s">
        <v>10</v>
      </c>
      <c r="J57" t="s">
        <v>69</v>
      </c>
    </row>
    <row r="58" spans="1:10" x14ac:dyDescent="0.3">
      <c r="A58" t="s">
        <v>175</v>
      </c>
      <c r="B58" t="s">
        <v>176</v>
      </c>
      <c r="C58" t="s">
        <v>47</v>
      </c>
      <c r="D58" s="1">
        <v>32872</v>
      </c>
      <c r="E58" s="1">
        <v>43110</v>
      </c>
      <c r="F58" t="s">
        <v>17</v>
      </c>
      <c r="G58" t="s">
        <v>75</v>
      </c>
      <c r="H58" t="s">
        <v>60</v>
      </c>
      <c r="I58" t="s">
        <v>10</v>
      </c>
      <c r="J58" t="s">
        <v>50</v>
      </c>
    </row>
    <row r="59" spans="1:10" x14ac:dyDescent="0.3">
      <c r="A59" t="s">
        <v>177</v>
      </c>
      <c r="B59" t="s">
        <v>178</v>
      </c>
      <c r="C59" t="s">
        <v>53</v>
      </c>
      <c r="D59" s="1">
        <v>35373</v>
      </c>
      <c r="E59" s="1">
        <v>45127</v>
      </c>
      <c r="F59" t="s">
        <v>19</v>
      </c>
      <c r="G59" t="s">
        <v>78</v>
      </c>
      <c r="H59" t="s">
        <v>64</v>
      </c>
      <c r="I59" t="s">
        <v>10</v>
      </c>
      <c r="J59" t="s">
        <v>69</v>
      </c>
    </row>
    <row r="60" spans="1:10" x14ac:dyDescent="0.3">
      <c r="A60" t="s">
        <v>179</v>
      </c>
      <c r="B60" t="s">
        <v>180</v>
      </c>
      <c r="C60" t="s">
        <v>47</v>
      </c>
      <c r="D60" s="1">
        <v>34378</v>
      </c>
      <c r="E60" s="1">
        <v>44849</v>
      </c>
      <c r="F60" t="s">
        <v>18</v>
      </c>
      <c r="G60" t="s">
        <v>48</v>
      </c>
      <c r="H60" t="s">
        <v>49</v>
      </c>
      <c r="I60" t="s">
        <v>11</v>
      </c>
      <c r="J60" t="s">
        <v>56</v>
      </c>
    </row>
    <row r="61" spans="1:10" x14ac:dyDescent="0.3">
      <c r="A61" t="s">
        <v>181</v>
      </c>
      <c r="B61" t="s">
        <v>182</v>
      </c>
      <c r="C61" t="s">
        <v>53</v>
      </c>
      <c r="D61" s="1">
        <v>35539</v>
      </c>
      <c r="E61" s="1">
        <v>45236</v>
      </c>
      <c r="F61" t="s">
        <v>17</v>
      </c>
      <c r="G61" t="s">
        <v>59</v>
      </c>
      <c r="H61" t="s">
        <v>60</v>
      </c>
      <c r="I61" t="s">
        <v>13</v>
      </c>
      <c r="J61" t="s">
        <v>65</v>
      </c>
    </row>
    <row r="62" spans="1:10" x14ac:dyDescent="0.3">
      <c r="A62" t="s">
        <v>183</v>
      </c>
      <c r="B62" t="s">
        <v>184</v>
      </c>
      <c r="C62" t="s">
        <v>47</v>
      </c>
      <c r="D62" s="1">
        <v>32894</v>
      </c>
      <c r="E62" s="1">
        <v>43868</v>
      </c>
      <c r="F62" t="s">
        <v>18</v>
      </c>
      <c r="G62" t="s">
        <v>48</v>
      </c>
      <c r="H62" t="s">
        <v>49</v>
      </c>
      <c r="I62" t="s">
        <v>10</v>
      </c>
      <c r="J62" t="s">
        <v>50</v>
      </c>
    </row>
    <row r="63" spans="1:10" x14ac:dyDescent="0.3">
      <c r="A63" t="s">
        <v>185</v>
      </c>
      <c r="B63" t="s">
        <v>186</v>
      </c>
      <c r="C63" t="s">
        <v>53</v>
      </c>
      <c r="D63" s="1">
        <v>33691</v>
      </c>
      <c r="E63" s="1">
        <v>44276</v>
      </c>
      <c r="F63" t="s">
        <v>16</v>
      </c>
      <c r="G63" t="s">
        <v>54</v>
      </c>
      <c r="H63" t="s">
        <v>55</v>
      </c>
      <c r="I63" t="s">
        <v>10</v>
      </c>
      <c r="J63" t="s">
        <v>56</v>
      </c>
    </row>
    <row r="64" spans="1:10" x14ac:dyDescent="0.3">
      <c r="A64" t="s">
        <v>187</v>
      </c>
      <c r="B64" t="s">
        <v>188</v>
      </c>
      <c r="C64" t="s">
        <v>47</v>
      </c>
      <c r="D64" s="1">
        <v>32279</v>
      </c>
      <c r="E64" s="1">
        <v>43693</v>
      </c>
      <c r="F64" t="s">
        <v>17</v>
      </c>
      <c r="G64" t="s">
        <v>59</v>
      </c>
      <c r="H64" t="s">
        <v>60</v>
      </c>
      <c r="I64" t="s">
        <v>10</v>
      </c>
      <c r="J64" t="s">
        <v>50</v>
      </c>
    </row>
    <row r="65" spans="1:10" x14ac:dyDescent="0.3">
      <c r="A65" t="s">
        <v>189</v>
      </c>
      <c r="B65" t="s">
        <v>190</v>
      </c>
      <c r="C65" t="s">
        <v>53</v>
      </c>
      <c r="D65" s="1">
        <v>34891</v>
      </c>
      <c r="E65" s="1">
        <v>44719</v>
      </c>
      <c r="F65" t="s">
        <v>19</v>
      </c>
      <c r="G65" t="s">
        <v>63</v>
      </c>
      <c r="H65" t="s">
        <v>64</v>
      </c>
      <c r="I65" t="s">
        <v>12</v>
      </c>
      <c r="J65" t="s">
        <v>65</v>
      </c>
    </row>
    <row r="66" spans="1:10" x14ac:dyDescent="0.3">
      <c r="A66" t="s">
        <v>191</v>
      </c>
      <c r="B66" t="s">
        <v>192</v>
      </c>
      <c r="C66" t="s">
        <v>47</v>
      </c>
      <c r="D66" s="1">
        <v>33468</v>
      </c>
      <c r="E66" s="1">
        <v>44465</v>
      </c>
      <c r="F66" t="s">
        <v>18</v>
      </c>
      <c r="G66" t="s">
        <v>68</v>
      </c>
      <c r="H66" t="s">
        <v>49</v>
      </c>
      <c r="I66" t="s">
        <v>10</v>
      </c>
      <c r="J66" t="s">
        <v>69</v>
      </c>
    </row>
    <row r="67" spans="1:10" x14ac:dyDescent="0.3">
      <c r="A67" t="s">
        <v>193</v>
      </c>
      <c r="B67" t="s">
        <v>194</v>
      </c>
      <c r="C67" t="s">
        <v>53</v>
      </c>
      <c r="D67" s="1">
        <v>34298</v>
      </c>
      <c r="E67" s="1">
        <v>44913</v>
      </c>
      <c r="F67" t="s">
        <v>16</v>
      </c>
      <c r="G67" t="s">
        <v>72</v>
      </c>
      <c r="H67" t="s">
        <v>55</v>
      </c>
      <c r="I67" t="s">
        <v>10</v>
      </c>
      <c r="J67" t="s">
        <v>69</v>
      </c>
    </row>
    <row r="68" spans="1:10" x14ac:dyDescent="0.3">
      <c r="A68" t="s">
        <v>195</v>
      </c>
      <c r="B68" t="s">
        <v>196</v>
      </c>
      <c r="C68" t="s">
        <v>47</v>
      </c>
      <c r="D68" s="1">
        <v>32873</v>
      </c>
      <c r="E68" s="1">
        <v>43111</v>
      </c>
      <c r="F68" t="s">
        <v>17</v>
      </c>
      <c r="G68" t="s">
        <v>75</v>
      </c>
      <c r="H68" t="s">
        <v>60</v>
      </c>
      <c r="I68" t="s">
        <v>10</v>
      </c>
      <c r="J68" t="s">
        <v>50</v>
      </c>
    </row>
    <row r="69" spans="1:10" x14ac:dyDescent="0.3">
      <c r="A69" t="s">
        <v>197</v>
      </c>
      <c r="B69" t="s">
        <v>198</v>
      </c>
      <c r="C69" t="s">
        <v>53</v>
      </c>
      <c r="D69" s="1">
        <v>35374</v>
      </c>
      <c r="E69" s="1">
        <v>45128</v>
      </c>
      <c r="F69" t="s">
        <v>19</v>
      </c>
      <c r="G69" t="s">
        <v>78</v>
      </c>
      <c r="H69" t="s">
        <v>64</v>
      </c>
      <c r="I69" t="s">
        <v>10</v>
      </c>
      <c r="J69" t="s">
        <v>69</v>
      </c>
    </row>
    <row r="70" spans="1:10" x14ac:dyDescent="0.3">
      <c r="A70" t="s">
        <v>199</v>
      </c>
      <c r="B70" t="s">
        <v>200</v>
      </c>
      <c r="C70" t="s">
        <v>47</v>
      </c>
      <c r="D70" s="1">
        <v>34379</v>
      </c>
      <c r="E70" s="1">
        <v>44850</v>
      </c>
      <c r="F70" t="s">
        <v>18</v>
      </c>
      <c r="G70" t="s">
        <v>48</v>
      </c>
      <c r="H70" t="s">
        <v>49</v>
      </c>
      <c r="I70" t="s">
        <v>11</v>
      </c>
      <c r="J70" t="s">
        <v>56</v>
      </c>
    </row>
    <row r="71" spans="1:10" x14ac:dyDescent="0.3">
      <c r="A71" t="s">
        <v>201</v>
      </c>
      <c r="B71" t="s">
        <v>202</v>
      </c>
      <c r="C71" t="s">
        <v>53</v>
      </c>
      <c r="D71" s="1">
        <v>35540</v>
      </c>
      <c r="E71" s="1">
        <v>45237</v>
      </c>
      <c r="F71" t="s">
        <v>17</v>
      </c>
      <c r="G71" t="s">
        <v>59</v>
      </c>
      <c r="H71" t="s">
        <v>60</v>
      </c>
      <c r="I71" t="s">
        <v>13</v>
      </c>
      <c r="J71" t="s">
        <v>65</v>
      </c>
    </row>
    <row r="72" spans="1:10" x14ac:dyDescent="0.3">
      <c r="A72" t="s">
        <v>203</v>
      </c>
      <c r="B72" t="s">
        <v>204</v>
      </c>
      <c r="C72" t="s">
        <v>47</v>
      </c>
      <c r="D72" s="1">
        <v>32895</v>
      </c>
      <c r="E72" s="1">
        <v>43869</v>
      </c>
      <c r="F72" t="s">
        <v>18</v>
      </c>
      <c r="G72" t="s">
        <v>48</v>
      </c>
      <c r="H72" t="s">
        <v>49</v>
      </c>
      <c r="I72" t="s">
        <v>10</v>
      </c>
      <c r="J72" t="s">
        <v>50</v>
      </c>
    </row>
    <row r="73" spans="1:10" x14ac:dyDescent="0.3">
      <c r="A73" t="s">
        <v>205</v>
      </c>
      <c r="B73" t="s">
        <v>206</v>
      </c>
      <c r="C73" t="s">
        <v>53</v>
      </c>
      <c r="D73" s="1">
        <v>33692</v>
      </c>
      <c r="E73" s="1">
        <v>44277</v>
      </c>
      <c r="F73" t="s">
        <v>16</v>
      </c>
      <c r="G73" t="s">
        <v>54</v>
      </c>
      <c r="H73" t="s">
        <v>55</v>
      </c>
      <c r="I73" t="s">
        <v>10</v>
      </c>
      <c r="J73" t="s">
        <v>56</v>
      </c>
    </row>
    <row r="74" spans="1:10" x14ac:dyDescent="0.3">
      <c r="A74" t="s">
        <v>207</v>
      </c>
      <c r="B74" t="s">
        <v>208</v>
      </c>
      <c r="C74" t="s">
        <v>47</v>
      </c>
      <c r="D74" s="1">
        <v>32280</v>
      </c>
      <c r="E74" s="1">
        <v>43694</v>
      </c>
      <c r="F74" t="s">
        <v>17</v>
      </c>
      <c r="G74" t="s">
        <v>59</v>
      </c>
      <c r="H74" t="s">
        <v>60</v>
      </c>
      <c r="I74" t="s">
        <v>10</v>
      </c>
      <c r="J74" t="s">
        <v>50</v>
      </c>
    </row>
    <row r="75" spans="1:10" x14ac:dyDescent="0.3">
      <c r="A75" t="s">
        <v>209</v>
      </c>
      <c r="B75" t="s">
        <v>210</v>
      </c>
      <c r="C75" t="s">
        <v>53</v>
      </c>
      <c r="D75" s="1">
        <v>34892</v>
      </c>
      <c r="E75" s="1">
        <v>44720</v>
      </c>
      <c r="F75" t="s">
        <v>19</v>
      </c>
      <c r="G75" t="s">
        <v>63</v>
      </c>
      <c r="H75" t="s">
        <v>64</v>
      </c>
      <c r="I75" t="s">
        <v>12</v>
      </c>
      <c r="J75" t="s">
        <v>65</v>
      </c>
    </row>
    <row r="76" spans="1:10" x14ac:dyDescent="0.3">
      <c r="A76" t="s">
        <v>211</v>
      </c>
      <c r="B76" t="s">
        <v>212</v>
      </c>
      <c r="C76" t="s">
        <v>47</v>
      </c>
      <c r="D76" s="1">
        <v>33469</v>
      </c>
      <c r="E76" s="1">
        <v>44466</v>
      </c>
      <c r="F76" t="s">
        <v>18</v>
      </c>
      <c r="G76" t="s">
        <v>68</v>
      </c>
      <c r="H76" t="s">
        <v>49</v>
      </c>
      <c r="I76" t="s">
        <v>10</v>
      </c>
      <c r="J76" t="s">
        <v>69</v>
      </c>
    </row>
    <row r="77" spans="1:10" x14ac:dyDescent="0.3">
      <c r="A77" t="s">
        <v>213</v>
      </c>
      <c r="B77" t="s">
        <v>214</v>
      </c>
      <c r="C77" t="s">
        <v>53</v>
      </c>
      <c r="D77" s="1">
        <v>34299</v>
      </c>
      <c r="E77" s="1">
        <v>44914</v>
      </c>
      <c r="F77" t="s">
        <v>16</v>
      </c>
      <c r="G77" t="s">
        <v>72</v>
      </c>
      <c r="H77" t="s">
        <v>55</v>
      </c>
      <c r="I77" t="s">
        <v>10</v>
      </c>
      <c r="J77" t="s">
        <v>69</v>
      </c>
    </row>
    <row r="78" spans="1:10" x14ac:dyDescent="0.3">
      <c r="A78" t="s">
        <v>215</v>
      </c>
      <c r="B78" t="s">
        <v>216</v>
      </c>
      <c r="C78" t="s">
        <v>47</v>
      </c>
      <c r="D78" s="1">
        <v>32874</v>
      </c>
      <c r="E78" s="1">
        <v>43112</v>
      </c>
      <c r="F78" t="s">
        <v>17</v>
      </c>
      <c r="G78" t="s">
        <v>75</v>
      </c>
      <c r="H78" t="s">
        <v>60</v>
      </c>
      <c r="I78" t="s">
        <v>10</v>
      </c>
      <c r="J78" t="s">
        <v>50</v>
      </c>
    </row>
    <row r="79" spans="1:10" x14ac:dyDescent="0.3">
      <c r="A79" t="s">
        <v>217</v>
      </c>
      <c r="B79" t="s">
        <v>218</v>
      </c>
      <c r="C79" t="s">
        <v>53</v>
      </c>
      <c r="D79" s="1">
        <v>35375</v>
      </c>
      <c r="E79" s="1">
        <v>45129</v>
      </c>
      <c r="F79" t="s">
        <v>19</v>
      </c>
      <c r="G79" t="s">
        <v>78</v>
      </c>
      <c r="H79" t="s">
        <v>64</v>
      </c>
      <c r="I79" t="s">
        <v>10</v>
      </c>
      <c r="J79" t="s">
        <v>69</v>
      </c>
    </row>
    <row r="80" spans="1:10" x14ac:dyDescent="0.3">
      <c r="A80" t="s">
        <v>219</v>
      </c>
      <c r="B80" t="s">
        <v>220</v>
      </c>
      <c r="C80" t="s">
        <v>47</v>
      </c>
      <c r="D80" s="1">
        <v>34380</v>
      </c>
      <c r="E80" s="1">
        <v>44851</v>
      </c>
      <c r="F80" t="s">
        <v>18</v>
      </c>
      <c r="G80" t="s">
        <v>48</v>
      </c>
      <c r="H80" t="s">
        <v>49</v>
      </c>
      <c r="I80" t="s">
        <v>11</v>
      </c>
      <c r="J80" t="s">
        <v>56</v>
      </c>
    </row>
    <row r="81" spans="1:10" x14ac:dyDescent="0.3">
      <c r="A81" t="s">
        <v>221</v>
      </c>
      <c r="B81" t="s">
        <v>222</v>
      </c>
      <c r="C81" t="s">
        <v>53</v>
      </c>
      <c r="D81" s="1">
        <v>35541</v>
      </c>
      <c r="E81" s="1">
        <v>45238</v>
      </c>
      <c r="F81" t="s">
        <v>17</v>
      </c>
      <c r="G81" t="s">
        <v>59</v>
      </c>
      <c r="H81" t="s">
        <v>60</v>
      </c>
      <c r="I81" t="s">
        <v>13</v>
      </c>
      <c r="J81" t="s">
        <v>65</v>
      </c>
    </row>
    <row r="82" spans="1:10" x14ac:dyDescent="0.3">
      <c r="A82" t="s">
        <v>223</v>
      </c>
      <c r="B82" t="s">
        <v>224</v>
      </c>
      <c r="C82" t="s">
        <v>47</v>
      </c>
      <c r="D82" s="1">
        <v>32896</v>
      </c>
      <c r="E82" s="1">
        <v>43870</v>
      </c>
      <c r="F82" t="s">
        <v>18</v>
      </c>
      <c r="G82" t="s">
        <v>48</v>
      </c>
      <c r="H82" t="s">
        <v>49</v>
      </c>
      <c r="I82" t="s">
        <v>10</v>
      </c>
      <c r="J82" t="s">
        <v>50</v>
      </c>
    </row>
    <row r="83" spans="1:10" x14ac:dyDescent="0.3">
      <c r="A83" t="s">
        <v>225</v>
      </c>
      <c r="B83" t="s">
        <v>226</v>
      </c>
      <c r="C83" t="s">
        <v>53</v>
      </c>
      <c r="D83" s="1">
        <v>33693</v>
      </c>
      <c r="E83" s="1">
        <v>44278</v>
      </c>
      <c r="F83" t="s">
        <v>16</v>
      </c>
      <c r="G83" t="s">
        <v>54</v>
      </c>
      <c r="H83" t="s">
        <v>55</v>
      </c>
      <c r="I83" t="s">
        <v>10</v>
      </c>
      <c r="J83" t="s">
        <v>56</v>
      </c>
    </row>
    <row r="84" spans="1:10" x14ac:dyDescent="0.3">
      <c r="A84" t="s">
        <v>227</v>
      </c>
      <c r="B84" t="s">
        <v>228</v>
      </c>
      <c r="C84" t="s">
        <v>47</v>
      </c>
      <c r="D84" s="1">
        <v>32281</v>
      </c>
      <c r="E84" s="1">
        <v>43695</v>
      </c>
      <c r="F84" t="s">
        <v>17</v>
      </c>
      <c r="G84" t="s">
        <v>59</v>
      </c>
      <c r="H84" t="s">
        <v>60</v>
      </c>
      <c r="I84" t="s">
        <v>10</v>
      </c>
      <c r="J84" t="s">
        <v>50</v>
      </c>
    </row>
    <row r="85" spans="1:10" x14ac:dyDescent="0.3">
      <c r="A85" t="s">
        <v>229</v>
      </c>
      <c r="B85" t="s">
        <v>230</v>
      </c>
      <c r="C85" t="s">
        <v>53</v>
      </c>
      <c r="D85" s="1">
        <v>34893</v>
      </c>
      <c r="E85" s="1">
        <v>44721</v>
      </c>
      <c r="F85" t="s">
        <v>19</v>
      </c>
      <c r="G85" t="s">
        <v>63</v>
      </c>
      <c r="H85" t="s">
        <v>64</v>
      </c>
      <c r="I85" t="s">
        <v>12</v>
      </c>
      <c r="J85" t="s">
        <v>65</v>
      </c>
    </row>
    <row r="86" spans="1:10" x14ac:dyDescent="0.3">
      <c r="A86" t="s">
        <v>231</v>
      </c>
      <c r="B86" t="s">
        <v>232</v>
      </c>
      <c r="C86" t="s">
        <v>47</v>
      </c>
      <c r="D86" s="1">
        <v>33470</v>
      </c>
      <c r="E86" s="1">
        <v>44467</v>
      </c>
      <c r="F86" t="s">
        <v>18</v>
      </c>
      <c r="G86" t="s">
        <v>68</v>
      </c>
      <c r="H86" t="s">
        <v>49</v>
      </c>
      <c r="I86" t="s">
        <v>10</v>
      </c>
      <c r="J86" t="s">
        <v>69</v>
      </c>
    </row>
    <row r="87" spans="1:10" x14ac:dyDescent="0.3">
      <c r="A87" t="s">
        <v>233</v>
      </c>
      <c r="B87" t="s">
        <v>234</v>
      </c>
      <c r="C87" t="s">
        <v>53</v>
      </c>
      <c r="D87" s="1">
        <v>34300</v>
      </c>
      <c r="E87" s="1">
        <v>44915</v>
      </c>
      <c r="F87" t="s">
        <v>16</v>
      </c>
      <c r="G87" t="s">
        <v>72</v>
      </c>
      <c r="H87" t="s">
        <v>55</v>
      </c>
      <c r="I87" t="s">
        <v>10</v>
      </c>
      <c r="J87" t="s">
        <v>69</v>
      </c>
    </row>
    <row r="88" spans="1:10" x14ac:dyDescent="0.3">
      <c r="A88" t="s">
        <v>235</v>
      </c>
      <c r="B88" t="s">
        <v>236</v>
      </c>
      <c r="C88" t="s">
        <v>47</v>
      </c>
      <c r="D88" s="1">
        <v>32875</v>
      </c>
      <c r="E88" s="1">
        <v>43113</v>
      </c>
      <c r="F88" t="s">
        <v>17</v>
      </c>
      <c r="G88" t="s">
        <v>75</v>
      </c>
      <c r="H88" t="s">
        <v>60</v>
      </c>
      <c r="I88" t="s">
        <v>10</v>
      </c>
      <c r="J88" t="s">
        <v>50</v>
      </c>
    </row>
    <row r="89" spans="1:10" x14ac:dyDescent="0.3">
      <c r="A89" t="s">
        <v>237</v>
      </c>
      <c r="B89" t="s">
        <v>238</v>
      </c>
      <c r="C89" t="s">
        <v>53</v>
      </c>
      <c r="D89" s="1">
        <v>35376</v>
      </c>
      <c r="E89" s="1">
        <v>45130</v>
      </c>
      <c r="F89" t="s">
        <v>19</v>
      </c>
      <c r="G89" t="s">
        <v>78</v>
      </c>
      <c r="H89" t="s">
        <v>64</v>
      </c>
      <c r="I89" t="s">
        <v>10</v>
      </c>
      <c r="J89" t="s">
        <v>69</v>
      </c>
    </row>
    <row r="90" spans="1:10" x14ac:dyDescent="0.3">
      <c r="A90" t="s">
        <v>239</v>
      </c>
      <c r="B90" t="s">
        <v>240</v>
      </c>
      <c r="C90" t="s">
        <v>47</v>
      </c>
      <c r="D90" s="1">
        <v>34381</v>
      </c>
      <c r="E90" s="1">
        <v>44852</v>
      </c>
      <c r="F90" t="s">
        <v>18</v>
      </c>
      <c r="G90" t="s">
        <v>48</v>
      </c>
      <c r="H90" t="s">
        <v>49</v>
      </c>
      <c r="I90" t="s">
        <v>11</v>
      </c>
      <c r="J90" t="s">
        <v>56</v>
      </c>
    </row>
    <row r="91" spans="1:10" x14ac:dyDescent="0.3">
      <c r="A91" t="s">
        <v>241</v>
      </c>
      <c r="B91" t="s">
        <v>242</v>
      </c>
      <c r="C91" t="s">
        <v>53</v>
      </c>
      <c r="D91" s="1">
        <v>35542</v>
      </c>
      <c r="E91" s="1">
        <v>45239</v>
      </c>
      <c r="F91" t="s">
        <v>17</v>
      </c>
      <c r="G91" t="s">
        <v>59</v>
      </c>
      <c r="H91" t="s">
        <v>60</v>
      </c>
      <c r="I91" t="s">
        <v>13</v>
      </c>
      <c r="J91" t="s">
        <v>65</v>
      </c>
    </row>
    <row r="92" spans="1:10" x14ac:dyDescent="0.3">
      <c r="A92" t="s">
        <v>243</v>
      </c>
      <c r="B92" t="s">
        <v>244</v>
      </c>
      <c r="C92" t="s">
        <v>47</v>
      </c>
      <c r="D92" s="1">
        <v>32897</v>
      </c>
      <c r="E92" s="1">
        <v>43871</v>
      </c>
      <c r="F92" t="s">
        <v>18</v>
      </c>
      <c r="G92" t="s">
        <v>48</v>
      </c>
      <c r="H92" t="s">
        <v>49</v>
      </c>
      <c r="I92" t="s">
        <v>10</v>
      </c>
      <c r="J92" t="s">
        <v>50</v>
      </c>
    </row>
    <row r="93" spans="1:10" x14ac:dyDescent="0.3">
      <c r="A93" t="s">
        <v>245</v>
      </c>
      <c r="B93" t="s">
        <v>246</v>
      </c>
      <c r="C93" t="s">
        <v>53</v>
      </c>
      <c r="D93" s="1">
        <v>33694</v>
      </c>
      <c r="E93" s="1">
        <v>44279</v>
      </c>
      <c r="F93" t="s">
        <v>16</v>
      </c>
      <c r="G93" t="s">
        <v>54</v>
      </c>
      <c r="H93" t="s">
        <v>55</v>
      </c>
      <c r="I93" t="s">
        <v>10</v>
      </c>
      <c r="J93" t="s">
        <v>56</v>
      </c>
    </row>
    <row r="94" spans="1:10" x14ac:dyDescent="0.3">
      <c r="A94" t="s">
        <v>247</v>
      </c>
      <c r="B94" t="s">
        <v>248</v>
      </c>
      <c r="C94" t="s">
        <v>47</v>
      </c>
      <c r="D94" s="1">
        <v>32282</v>
      </c>
      <c r="E94" s="1">
        <v>43696</v>
      </c>
      <c r="F94" t="s">
        <v>17</v>
      </c>
      <c r="G94" t="s">
        <v>59</v>
      </c>
      <c r="H94" t="s">
        <v>60</v>
      </c>
      <c r="I94" t="s">
        <v>10</v>
      </c>
      <c r="J94" t="s">
        <v>50</v>
      </c>
    </row>
    <row r="95" spans="1:10" x14ac:dyDescent="0.3">
      <c r="A95" t="s">
        <v>249</v>
      </c>
      <c r="B95" t="s">
        <v>250</v>
      </c>
      <c r="C95" t="s">
        <v>53</v>
      </c>
      <c r="D95" s="1">
        <v>34894</v>
      </c>
      <c r="E95" s="1">
        <v>44722</v>
      </c>
      <c r="F95" t="s">
        <v>19</v>
      </c>
      <c r="G95" t="s">
        <v>63</v>
      </c>
      <c r="H95" t="s">
        <v>64</v>
      </c>
      <c r="I95" t="s">
        <v>12</v>
      </c>
      <c r="J95" t="s">
        <v>65</v>
      </c>
    </row>
    <row r="96" spans="1:10" x14ac:dyDescent="0.3">
      <c r="A96" t="s">
        <v>251</v>
      </c>
      <c r="B96" t="s">
        <v>252</v>
      </c>
      <c r="C96" t="s">
        <v>47</v>
      </c>
      <c r="D96" s="1">
        <v>33471</v>
      </c>
      <c r="E96" s="1">
        <v>44468</v>
      </c>
      <c r="F96" t="s">
        <v>18</v>
      </c>
      <c r="G96" t="s">
        <v>68</v>
      </c>
      <c r="H96" t="s">
        <v>49</v>
      </c>
      <c r="I96" t="s">
        <v>10</v>
      </c>
      <c r="J96" t="s">
        <v>69</v>
      </c>
    </row>
    <row r="97" spans="1:10" x14ac:dyDescent="0.3">
      <c r="A97" t="s">
        <v>253</v>
      </c>
      <c r="B97" t="s">
        <v>254</v>
      </c>
      <c r="C97" t="s">
        <v>53</v>
      </c>
      <c r="D97" s="1">
        <v>34301</v>
      </c>
      <c r="E97" s="1">
        <v>44916</v>
      </c>
      <c r="F97" t="s">
        <v>16</v>
      </c>
      <c r="G97" t="s">
        <v>72</v>
      </c>
      <c r="H97" t="s">
        <v>55</v>
      </c>
      <c r="I97" t="s">
        <v>10</v>
      </c>
      <c r="J97" t="s">
        <v>69</v>
      </c>
    </row>
    <row r="98" spans="1:10" x14ac:dyDescent="0.3">
      <c r="A98" t="s">
        <v>255</v>
      </c>
      <c r="B98" t="s">
        <v>256</v>
      </c>
      <c r="C98" t="s">
        <v>47</v>
      </c>
      <c r="D98" s="1">
        <v>32876</v>
      </c>
      <c r="E98" s="1">
        <v>43114</v>
      </c>
      <c r="F98" t="s">
        <v>17</v>
      </c>
      <c r="G98" t="s">
        <v>75</v>
      </c>
      <c r="H98" t="s">
        <v>60</v>
      </c>
      <c r="I98" t="s">
        <v>10</v>
      </c>
      <c r="J98" t="s">
        <v>50</v>
      </c>
    </row>
    <row r="99" spans="1:10" x14ac:dyDescent="0.3">
      <c r="A99" t="s">
        <v>257</v>
      </c>
      <c r="B99" t="s">
        <v>258</v>
      </c>
      <c r="C99" t="s">
        <v>53</v>
      </c>
      <c r="D99" s="1">
        <v>35377</v>
      </c>
      <c r="E99" s="1">
        <v>45131</v>
      </c>
      <c r="F99" t="s">
        <v>19</v>
      </c>
      <c r="G99" t="s">
        <v>78</v>
      </c>
      <c r="H99" t="s">
        <v>64</v>
      </c>
      <c r="I99" t="s">
        <v>10</v>
      </c>
      <c r="J99" t="s">
        <v>69</v>
      </c>
    </row>
    <row r="100" spans="1:10" x14ac:dyDescent="0.3">
      <c r="A100" t="s">
        <v>259</v>
      </c>
      <c r="B100" t="s">
        <v>260</v>
      </c>
      <c r="C100" t="s">
        <v>47</v>
      </c>
      <c r="D100" s="1">
        <v>34382</v>
      </c>
      <c r="E100" s="1">
        <v>44853</v>
      </c>
      <c r="F100" t="s">
        <v>18</v>
      </c>
      <c r="G100" t="s">
        <v>48</v>
      </c>
      <c r="H100" t="s">
        <v>49</v>
      </c>
      <c r="I100" t="s">
        <v>11</v>
      </c>
      <c r="J100" t="s">
        <v>56</v>
      </c>
    </row>
    <row r="101" spans="1:10" x14ac:dyDescent="0.3">
      <c r="A101" t="s">
        <v>261</v>
      </c>
      <c r="B101" t="s">
        <v>262</v>
      </c>
      <c r="C101" t="s">
        <v>53</v>
      </c>
      <c r="D101" s="1">
        <v>35543</v>
      </c>
      <c r="E101" s="1">
        <v>45240</v>
      </c>
      <c r="F101" t="s">
        <v>17</v>
      </c>
      <c r="G101" t="s">
        <v>59</v>
      </c>
      <c r="H101" t="s">
        <v>60</v>
      </c>
      <c r="I101" t="s">
        <v>13</v>
      </c>
      <c r="J101" t="s">
        <v>65</v>
      </c>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51AA2CB4-2CD2-4546-9701-BBA230E733E6}">
          <x14:formula1>
            <xm:f>Lists!$B$2:$B$5</xm:f>
          </x14:formula1>
          <xm:sqref>I2:I1095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222DB-76C0-4CAA-8AC7-271E3BFB52F3}">
  <sheetPr codeName="Sheet3"/>
  <dimension ref="A1:G101"/>
  <sheetViews>
    <sheetView workbookViewId="0">
      <selection sqref="A1:H1048576"/>
    </sheetView>
  </sheetViews>
  <sheetFormatPr defaultRowHeight="14.4" x14ac:dyDescent="0.3"/>
  <cols>
    <col min="1" max="1" width="11.109375" bestFit="1" customWidth="1"/>
    <col min="2" max="2" width="10.33203125" bestFit="1" customWidth="1"/>
    <col min="3" max="3" width="6.21875" bestFit="1" customWidth="1"/>
    <col min="4" max="4" width="6.77734375" bestFit="1" customWidth="1"/>
    <col min="5" max="5" width="8.21875" bestFit="1" customWidth="1"/>
    <col min="6" max="6" width="11.44140625" bestFit="1" customWidth="1"/>
    <col min="7" max="7" width="12.6640625" bestFit="1" customWidth="1"/>
  </cols>
  <sheetData>
    <row r="1" spans="1:7" x14ac:dyDescent="0.3">
      <c r="A1" s="7" t="s">
        <v>20</v>
      </c>
      <c r="B1" s="7" t="s">
        <v>31</v>
      </c>
      <c r="C1" s="7" t="s">
        <v>0</v>
      </c>
      <c r="D1" s="7" t="s">
        <v>32</v>
      </c>
      <c r="E1" s="7" t="s">
        <v>33</v>
      </c>
      <c r="F1" s="20" t="s">
        <v>34</v>
      </c>
      <c r="G1" s="20" t="s">
        <v>367</v>
      </c>
    </row>
    <row r="2" spans="1:7" x14ac:dyDescent="0.3">
      <c r="A2" s="8" t="s">
        <v>45</v>
      </c>
      <c r="B2" s="8">
        <v>46174</v>
      </c>
      <c r="C2" s="9" t="s">
        <v>4</v>
      </c>
      <c r="D2" s="10">
        <v>0.375</v>
      </c>
      <c r="E2" s="10">
        <v>0.75</v>
      </c>
      <c r="F2" s="21">
        <v>0</v>
      </c>
      <c r="G2" s="21">
        <f>IF(OR(tblAttendance.[[#This Row],[Status]]="P",tblAttendance.[[#This Row],[Status]]="WFH"),100%,IF(tblAttendance.[[#This Row],[Status]]="L",0%,IF(tblAttendance.[[#This Row],[Status]]="A",0%,0%)))</f>
        <v>1</v>
      </c>
    </row>
    <row r="3" spans="1:7" x14ac:dyDescent="0.3">
      <c r="A3" s="11" t="s">
        <v>51</v>
      </c>
      <c r="B3" s="11">
        <v>46174</v>
      </c>
      <c r="C3" s="6" t="s">
        <v>4</v>
      </c>
      <c r="D3" s="12">
        <v>0.375</v>
      </c>
      <c r="E3" s="12">
        <v>0.77083333333333337</v>
      </c>
      <c r="F3" s="22">
        <v>0.5</v>
      </c>
      <c r="G3" s="22">
        <f>IF(OR(tblAttendance.[[#This Row],[Status]]="P",tblAttendance.[[#This Row],[Status]]="WFH"),100%,IF(tblAttendance.[[#This Row],[Status]]="L",0%,IF(tblAttendance.[[#This Row],[Status]]="A",0%,0%)))</f>
        <v>1</v>
      </c>
    </row>
    <row r="4" spans="1:7" x14ac:dyDescent="0.3">
      <c r="A4" s="8" t="s">
        <v>57</v>
      </c>
      <c r="B4" s="8">
        <v>46174</v>
      </c>
      <c r="C4" s="9" t="s">
        <v>5</v>
      </c>
      <c r="D4" s="10">
        <v>0</v>
      </c>
      <c r="E4" s="10">
        <v>0</v>
      </c>
      <c r="F4" s="21">
        <v>0</v>
      </c>
      <c r="G4" s="21">
        <f>IF(OR(tblAttendance.[[#This Row],[Status]]="P",tblAttendance.[[#This Row],[Status]]="WFH"),100%,IF(tblAttendance.[[#This Row],[Status]]="L",0%,IF(tblAttendance.[[#This Row],[Status]]="A",0%,0%)))</f>
        <v>0</v>
      </c>
    </row>
    <row r="5" spans="1:7" x14ac:dyDescent="0.3">
      <c r="A5" s="11" t="s">
        <v>61</v>
      </c>
      <c r="B5" s="11">
        <v>46174</v>
      </c>
      <c r="C5" s="6" t="s">
        <v>4</v>
      </c>
      <c r="D5" s="12">
        <v>0.38541666666666669</v>
      </c>
      <c r="E5" s="12">
        <v>0.75</v>
      </c>
      <c r="F5" s="22">
        <v>0</v>
      </c>
      <c r="G5" s="22">
        <f>IF(OR(tblAttendance.[[#This Row],[Status]]="P",tblAttendance.[[#This Row],[Status]]="WFH"),100%,IF(tblAttendance.[[#This Row],[Status]]="L",0%,IF(tblAttendance.[[#This Row],[Status]]="A",0%,0%)))</f>
        <v>1</v>
      </c>
    </row>
    <row r="6" spans="1:7" x14ac:dyDescent="0.3">
      <c r="A6" s="8" t="s">
        <v>66</v>
      </c>
      <c r="B6" s="8">
        <v>46174</v>
      </c>
      <c r="C6" s="9" t="s">
        <v>7</v>
      </c>
      <c r="D6" s="10">
        <v>0.375</v>
      </c>
      <c r="E6" s="10">
        <v>0.75</v>
      </c>
      <c r="F6" s="21">
        <v>0</v>
      </c>
      <c r="G6" s="21">
        <f>IF(OR(tblAttendance.[[#This Row],[Status]]="P",tblAttendance.[[#This Row],[Status]]="WFH"),100%,IF(tblAttendance.[[#This Row],[Status]]="L",0%,IF(tblAttendance.[[#This Row],[Status]]="A",0%,0%)))</f>
        <v>1</v>
      </c>
    </row>
    <row r="7" spans="1:7" x14ac:dyDescent="0.3">
      <c r="A7" s="11" t="s">
        <v>70</v>
      </c>
      <c r="B7" s="11">
        <v>46174</v>
      </c>
      <c r="C7" s="6" t="s">
        <v>4</v>
      </c>
      <c r="D7" s="12">
        <v>0.375</v>
      </c>
      <c r="E7" s="12">
        <v>0.75</v>
      </c>
      <c r="F7" s="22">
        <v>0</v>
      </c>
      <c r="G7" s="22">
        <f>IF(OR(tblAttendance.[[#This Row],[Status]]="P",tblAttendance.[[#This Row],[Status]]="WFH"),100%,IF(tblAttendance.[[#This Row],[Status]]="L",0%,IF(tblAttendance.[[#This Row],[Status]]="A",0%,0%)))</f>
        <v>1</v>
      </c>
    </row>
    <row r="8" spans="1:7" x14ac:dyDescent="0.3">
      <c r="A8" s="8" t="s">
        <v>73</v>
      </c>
      <c r="B8" s="8">
        <v>46174</v>
      </c>
      <c r="C8" s="9" t="s">
        <v>4</v>
      </c>
      <c r="D8" s="10">
        <v>0.375</v>
      </c>
      <c r="E8" s="10">
        <v>0.79166666666666663</v>
      </c>
      <c r="F8" s="21">
        <v>1</v>
      </c>
      <c r="G8" s="21">
        <f>IF(OR(tblAttendance.[[#This Row],[Status]]="P",tblAttendance.[[#This Row],[Status]]="WFH"),100%,IF(tblAttendance.[[#This Row],[Status]]="L",0%,IF(tblAttendance.[[#This Row],[Status]]="A",0%,0%)))</f>
        <v>1</v>
      </c>
    </row>
    <row r="9" spans="1:7" x14ac:dyDescent="0.3">
      <c r="A9" s="11" t="s">
        <v>76</v>
      </c>
      <c r="B9" s="11">
        <v>46174</v>
      </c>
      <c r="C9" s="6" t="s">
        <v>4</v>
      </c>
      <c r="D9" s="12">
        <v>0.375</v>
      </c>
      <c r="E9" s="12">
        <v>0.75</v>
      </c>
      <c r="F9" s="22">
        <v>0</v>
      </c>
      <c r="G9" s="22">
        <f>IF(OR(tblAttendance.[[#This Row],[Status]]="P",tblAttendance.[[#This Row],[Status]]="WFH"),100%,IF(tblAttendance.[[#This Row],[Status]]="L",0%,IF(tblAttendance.[[#This Row],[Status]]="A",0%,0%)))</f>
        <v>1</v>
      </c>
    </row>
    <row r="10" spans="1:7" x14ac:dyDescent="0.3">
      <c r="A10" s="8" t="s">
        <v>79</v>
      </c>
      <c r="B10" s="8">
        <v>46174</v>
      </c>
      <c r="C10" s="9" t="s">
        <v>6</v>
      </c>
      <c r="D10" s="10">
        <v>0</v>
      </c>
      <c r="E10" s="10">
        <v>0</v>
      </c>
      <c r="F10" s="21">
        <v>0</v>
      </c>
      <c r="G10" s="21">
        <f>IF(OR(tblAttendance.[[#This Row],[Status]]="P",tblAttendance.[[#This Row],[Status]]="WFH"),100%,IF(tblAttendance.[[#This Row],[Status]]="L",0%,IF(tblAttendance.[[#This Row],[Status]]="A",0%,0%)))</f>
        <v>0</v>
      </c>
    </row>
    <row r="11" spans="1:7" x14ac:dyDescent="0.3">
      <c r="A11" s="11" t="s">
        <v>81</v>
      </c>
      <c r="B11" s="11">
        <v>46174</v>
      </c>
      <c r="C11" s="6" t="s">
        <v>4</v>
      </c>
      <c r="D11" s="12">
        <v>0.375</v>
      </c>
      <c r="E11" s="12">
        <v>0.75</v>
      </c>
      <c r="F11" s="22">
        <v>0</v>
      </c>
      <c r="G11" s="22">
        <f>IF(OR(tblAttendance.[[#This Row],[Status]]="P",tblAttendance.[[#This Row],[Status]]="WFH"),100%,IF(tblAttendance.[[#This Row],[Status]]="L",0%,IF(tblAttendance.[[#This Row],[Status]]="A",0%,0%)))</f>
        <v>1</v>
      </c>
    </row>
    <row r="12" spans="1:7" x14ac:dyDescent="0.3">
      <c r="A12" s="8" t="s">
        <v>83</v>
      </c>
      <c r="B12" s="8">
        <v>46174</v>
      </c>
      <c r="C12" s="9" t="s">
        <v>4</v>
      </c>
      <c r="D12" s="10">
        <v>0.375</v>
      </c>
      <c r="E12" s="10">
        <v>0.75</v>
      </c>
      <c r="F12" s="21">
        <v>0</v>
      </c>
      <c r="G12" s="21">
        <f>IF(OR(tblAttendance.[[#This Row],[Status]]="P",tblAttendance.[[#This Row],[Status]]="WFH"),100%,IF(tblAttendance.[[#This Row],[Status]]="L",0%,IF(tblAttendance.[[#This Row],[Status]]="A",0%,0%)))</f>
        <v>1</v>
      </c>
    </row>
    <row r="13" spans="1:7" x14ac:dyDescent="0.3">
      <c r="A13" s="11" t="s">
        <v>85</v>
      </c>
      <c r="B13" s="11">
        <v>46174</v>
      </c>
      <c r="C13" s="6" t="s">
        <v>4</v>
      </c>
      <c r="D13" s="12">
        <v>0.375</v>
      </c>
      <c r="E13" s="12">
        <v>0.75</v>
      </c>
      <c r="F13" s="22">
        <v>0</v>
      </c>
      <c r="G13" s="22">
        <f>IF(OR(tblAttendance.[[#This Row],[Status]]="P",tblAttendance.[[#This Row],[Status]]="WFH"),100%,IF(tblAttendance.[[#This Row],[Status]]="L",0%,IF(tblAttendance.[[#This Row],[Status]]="A",0%,0%)))</f>
        <v>1</v>
      </c>
    </row>
    <row r="14" spans="1:7" x14ac:dyDescent="0.3">
      <c r="A14" s="8" t="s">
        <v>87</v>
      </c>
      <c r="B14" s="8">
        <v>46174</v>
      </c>
      <c r="C14" s="9" t="s">
        <v>4</v>
      </c>
      <c r="D14" s="10">
        <v>0.375</v>
      </c>
      <c r="E14" s="10">
        <v>0.75</v>
      </c>
      <c r="F14" s="21">
        <v>0</v>
      </c>
      <c r="G14" s="21">
        <f>IF(OR(tblAttendance.[[#This Row],[Status]]="P",tblAttendance.[[#This Row],[Status]]="WFH"),100%,IF(tblAttendance.[[#This Row],[Status]]="L",0%,IF(tblAttendance.[[#This Row],[Status]]="A",0%,0%)))</f>
        <v>1</v>
      </c>
    </row>
    <row r="15" spans="1:7" x14ac:dyDescent="0.3">
      <c r="A15" s="11" t="s">
        <v>89</v>
      </c>
      <c r="B15" s="11">
        <v>46174</v>
      </c>
      <c r="C15" s="6" t="s">
        <v>5</v>
      </c>
      <c r="D15" s="12">
        <v>0</v>
      </c>
      <c r="E15" s="12">
        <v>0</v>
      </c>
      <c r="F15" s="22">
        <v>0</v>
      </c>
      <c r="G15" s="22">
        <f>IF(OR(tblAttendance.[[#This Row],[Status]]="P",tblAttendance.[[#This Row],[Status]]="WFH"),100%,IF(tblAttendance.[[#This Row],[Status]]="L",0%,IF(tblAttendance.[[#This Row],[Status]]="A",0%,0%)))</f>
        <v>0</v>
      </c>
    </row>
    <row r="16" spans="1:7" x14ac:dyDescent="0.3">
      <c r="A16" s="8" t="s">
        <v>91</v>
      </c>
      <c r="B16" s="8">
        <v>46174</v>
      </c>
      <c r="C16" s="9" t="s">
        <v>4</v>
      </c>
      <c r="D16" s="10">
        <v>0.375</v>
      </c>
      <c r="E16" s="10">
        <v>0.75</v>
      </c>
      <c r="F16" s="21">
        <v>0</v>
      </c>
      <c r="G16" s="21">
        <f>IF(OR(tblAttendance.[[#This Row],[Status]]="P",tblAttendance.[[#This Row],[Status]]="WFH"),100%,IF(tblAttendance.[[#This Row],[Status]]="L",0%,IF(tblAttendance.[[#This Row],[Status]]="A",0%,0%)))</f>
        <v>1</v>
      </c>
    </row>
    <row r="17" spans="1:7" x14ac:dyDescent="0.3">
      <c r="A17" s="11" t="s">
        <v>93</v>
      </c>
      <c r="B17" s="11">
        <v>46174</v>
      </c>
      <c r="C17" s="6" t="s">
        <v>4</v>
      </c>
      <c r="D17" s="12">
        <v>0.375</v>
      </c>
      <c r="E17" s="12">
        <v>0.75</v>
      </c>
      <c r="F17" s="22">
        <v>0</v>
      </c>
      <c r="G17" s="22">
        <f>IF(OR(tblAttendance.[[#This Row],[Status]]="P",tblAttendance.[[#This Row],[Status]]="WFH"),100%,IF(tblAttendance.[[#This Row],[Status]]="L",0%,IF(tblAttendance.[[#This Row],[Status]]="A",0%,0%)))</f>
        <v>1</v>
      </c>
    </row>
    <row r="18" spans="1:7" x14ac:dyDescent="0.3">
      <c r="A18" s="8" t="s">
        <v>95</v>
      </c>
      <c r="B18" s="8">
        <v>46174</v>
      </c>
      <c r="C18" s="9" t="s">
        <v>7</v>
      </c>
      <c r="D18" s="10">
        <v>0.375</v>
      </c>
      <c r="E18" s="10">
        <v>0.75</v>
      </c>
      <c r="F18" s="21">
        <v>0</v>
      </c>
      <c r="G18" s="21">
        <f>IF(OR(tblAttendance.[[#This Row],[Status]]="P",tblAttendance.[[#This Row],[Status]]="WFH"),100%,IF(tblAttendance.[[#This Row],[Status]]="L",0%,IF(tblAttendance.[[#This Row],[Status]]="A",0%,0%)))</f>
        <v>1</v>
      </c>
    </row>
    <row r="19" spans="1:7" x14ac:dyDescent="0.3">
      <c r="A19" s="11" t="s">
        <v>97</v>
      </c>
      <c r="B19" s="11">
        <v>46174</v>
      </c>
      <c r="C19" s="6" t="s">
        <v>4</v>
      </c>
      <c r="D19" s="12">
        <v>0.375</v>
      </c>
      <c r="E19" s="12">
        <v>0.75</v>
      </c>
      <c r="F19" s="22">
        <v>0</v>
      </c>
      <c r="G19" s="22">
        <f>IF(OR(tblAttendance.[[#This Row],[Status]]="P",tblAttendance.[[#This Row],[Status]]="WFH"),100%,IF(tblAttendance.[[#This Row],[Status]]="L",0%,IF(tblAttendance.[[#This Row],[Status]]="A",0%,0%)))</f>
        <v>1</v>
      </c>
    </row>
    <row r="20" spans="1:7" x14ac:dyDescent="0.3">
      <c r="A20" s="8" t="s">
        <v>99</v>
      </c>
      <c r="B20" s="8">
        <v>46174</v>
      </c>
      <c r="C20" s="9" t="s">
        <v>4</v>
      </c>
      <c r="D20" s="10">
        <v>0.375</v>
      </c>
      <c r="E20" s="10">
        <v>0.75</v>
      </c>
      <c r="F20" s="21">
        <v>0</v>
      </c>
      <c r="G20" s="21">
        <f>IF(OR(tblAttendance.[[#This Row],[Status]]="P",tblAttendance.[[#This Row],[Status]]="WFH"),100%,IF(tblAttendance.[[#This Row],[Status]]="L",0%,IF(tblAttendance.[[#This Row],[Status]]="A",0%,0%)))</f>
        <v>1</v>
      </c>
    </row>
    <row r="21" spans="1:7" x14ac:dyDescent="0.3">
      <c r="A21" s="11" t="s">
        <v>101</v>
      </c>
      <c r="B21" s="11">
        <v>46174</v>
      </c>
      <c r="C21" s="6" t="s">
        <v>4</v>
      </c>
      <c r="D21" s="12">
        <v>0.375</v>
      </c>
      <c r="E21" s="12">
        <v>0.75</v>
      </c>
      <c r="F21" s="22">
        <v>0</v>
      </c>
      <c r="G21" s="22">
        <f>IF(OR(tblAttendance.[[#This Row],[Status]]="P",tblAttendance.[[#This Row],[Status]]="WFH"),100%,IF(tblAttendance.[[#This Row],[Status]]="L",0%,IF(tblAttendance.[[#This Row],[Status]]="A",0%,0%)))</f>
        <v>1</v>
      </c>
    </row>
    <row r="22" spans="1:7" x14ac:dyDescent="0.3">
      <c r="A22" s="8" t="s">
        <v>103</v>
      </c>
      <c r="B22" s="8">
        <v>46174</v>
      </c>
      <c r="C22" s="9" t="s">
        <v>4</v>
      </c>
      <c r="D22" s="10">
        <v>0.375</v>
      </c>
      <c r="E22" s="10">
        <v>0.75</v>
      </c>
      <c r="F22" s="21">
        <v>0</v>
      </c>
      <c r="G22" s="21">
        <f>IF(OR(tblAttendance.[[#This Row],[Status]]="P",tblAttendance.[[#This Row],[Status]]="WFH"),100%,IF(tblAttendance.[[#This Row],[Status]]="L",0%,IF(tblAttendance.[[#This Row],[Status]]="A",0%,0%)))</f>
        <v>1</v>
      </c>
    </row>
    <row r="23" spans="1:7" x14ac:dyDescent="0.3">
      <c r="A23" s="11" t="s">
        <v>105</v>
      </c>
      <c r="B23" s="11">
        <v>46174</v>
      </c>
      <c r="C23" s="6" t="s">
        <v>4</v>
      </c>
      <c r="D23" s="12">
        <v>0.375</v>
      </c>
      <c r="E23" s="12">
        <v>0.75</v>
      </c>
      <c r="F23" s="22">
        <v>0</v>
      </c>
      <c r="G23" s="22">
        <f>IF(OR(tblAttendance.[[#This Row],[Status]]="P",tblAttendance.[[#This Row],[Status]]="WFH"),100%,IF(tblAttendance.[[#This Row],[Status]]="L",0%,IF(tblAttendance.[[#This Row],[Status]]="A",0%,0%)))</f>
        <v>1</v>
      </c>
    </row>
    <row r="24" spans="1:7" x14ac:dyDescent="0.3">
      <c r="A24" s="8" t="s">
        <v>107</v>
      </c>
      <c r="B24" s="8">
        <v>46174</v>
      </c>
      <c r="C24" s="9" t="s">
        <v>4</v>
      </c>
      <c r="D24" s="10">
        <v>0.375</v>
      </c>
      <c r="E24" s="10">
        <v>0.75</v>
      </c>
      <c r="F24" s="21">
        <v>0</v>
      </c>
      <c r="G24" s="21">
        <f>IF(OR(tblAttendance.[[#This Row],[Status]]="P",tblAttendance.[[#This Row],[Status]]="WFH"),100%,IF(tblAttendance.[[#This Row],[Status]]="L",0%,IF(tblAttendance.[[#This Row],[Status]]="A",0%,0%)))</f>
        <v>1</v>
      </c>
    </row>
    <row r="25" spans="1:7" x14ac:dyDescent="0.3">
      <c r="A25" s="11" t="s">
        <v>109</v>
      </c>
      <c r="B25" s="11">
        <v>46174</v>
      </c>
      <c r="C25" s="6" t="s">
        <v>6</v>
      </c>
      <c r="D25" s="12">
        <v>0</v>
      </c>
      <c r="E25" s="12">
        <v>0</v>
      </c>
      <c r="F25" s="22">
        <v>0</v>
      </c>
      <c r="G25" s="22">
        <f>IF(OR(tblAttendance.[[#This Row],[Status]]="P",tblAttendance.[[#This Row],[Status]]="WFH"),100%,IF(tblAttendance.[[#This Row],[Status]]="L",0%,IF(tblAttendance.[[#This Row],[Status]]="A",0%,0%)))</f>
        <v>0</v>
      </c>
    </row>
    <row r="26" spans="1:7" x14ac:dyDescent="0.3">
      <c r="A26" s="8" t="s">
        <v>111</v>
      </c>
      <c r="B26" s="8">
        <v>46174</v>
      </c>
      <c r="C26" s="9" t="s">
        <v>4</v>
      </c>
      <c r="D26" s="10">
        <v>0.375</v>
      </c>
      <c r="E26" s="10">
        <v>0.75</v>
      </c>
      <c r="F26" s="21">
        <v>0</v>
      </c>
      <c r="G26" s="21">
        <f>IF(OR(tblAttendance.[[#This Row],[Status]]="P",tblAttendance.[[#This Row],[Status]]="WFH"),100%,IF(tblAttendance.[[#This Row],[Status]]="L",0%,IF(tblAttendance.[[#This Row],[Status]]="A",0%,0%)))</f>
        <v>1</v>
      </c>
    </row>
    <row r="27" spans="1:7" x14ac:dyDescent="0.3">
      <c r="A27" s="11" t="s">
        <v>113</v>
      </c>
      <c r="B27" s="11">
        <v>46175</v>
      </c>
      <c r="C27" s="6" t="s">
        <v>4</v>
      </c>
      <c r="D27" s="12">
        <v>0.375</v>
      </c>
      <c r="E27" s="12">
        <v>0.75</v>
      </c>
      <c r="F27" s="22">
        <v>0</v>
      </c>
      <c r="G27" s="22">
        <f>IF(OR(tblAttendance.[[#This Row],[Status]]="P",tblAttendance.[[#This Row],[Status]]="WFH"),100%,IF(tblAttendance.[[#This Row],[Status]]="L",0%,IF(tblAttendance.[[#This Row],[Status]]="A",0%,0%)))</f>
        <v>1</v>
      </c>
    </row>
    <row r="28" spans="1:7" x14ac:dyDescent="0.3">
      <c r="A28" s="8" t="s">
        <v>115</v>
      </c>
      <c r="B28" s="8">
        <v>46175</v>
      </c>
      <c r="C28" s="9" t="s">
        <v>4</v>
      </c>
      <c r="D28" s="10">
        <v>0.375</v>
      </c>
      <c r="E28" s="10">
        <v>0.75</v>
      </c>
      <c r="F28" s="21">
        <v>0</v>
      </c>
      <c r="G28" s="21">
        <f>IF(OR(tblAttendance.[[#This Row],[Status]]="P",tblAttendance.[[#This Row],[Status]]="WFH"),100%,IF(tblAttendance.[[#This Row],[Status]]="L",0%,IF(tblAttendance.[[#This Row],[Status]]="A",0%,0%)))</f>
        <v>1</v>
      </c>
    </row>
    <row r="29" spans="1:7" x14ac:dyDescent="0.3">
      <c r="A29" s="11" t="s">
        <v>117</v>
      </c>
      <c r="B29" s="11">
        <v>46175</v>
      </c>
      <c r="C29" s="6" t="s">
        <v>4</v>
      </c>
      <c r="D29" s="12">
        <v>0.375</v>
      </c>
      <c r="E29" s="12">
        <v>0.83333333333333337</v>
      </c>
      <c r="F29" s="22">
        <v>2</v>
      </c>
      <c r="G29" s="22">
        <f>IF(OR(tblAttendance.[[#This Row],[Status]]="P",tblAttendance.[[#This Row],[Status]]="WFH"),100%,IF(tblAttendance.[[#This Row],[Status]]="L",0%,IF(tblAttendance.[[#This Row],[Status]]="A",0%,0%)))</f>
        <v>1</v>
      </c>
    </row>
    <row r="30" spans="1:7" x14ac:dyDescent="0.3">
      <c r="A30" s="8" t="s">
        <v>119</v>
      </c>
      <c r="B30" s="8">
        <v>46175</v>
      </c>
      <c r="C30" s="9" t="s">
        <v>4</v>
      </c>
      <c r="D30" s="10">
        <v>0.375</v>
      </c>
      <c r="E30" s="10">
        <v>0.75</v>
      </c>
      <c r="F30" s="21">
        <v>0</v>
      </c>
      <c r="G30" s="21">
        <f>IF(OR(tblAttendance.[[#This Row],[Status]]="P",tblAttendance.[[#This Row],[Status]]="WFH"),100%,IF(tblAttendance.[[#This Row],[Status]]="L",0%,IF(tblAttendance.[[#This Row],[Status]]="A",0%,0%)))</f>
        <v>1</v>
      </c>
    </row>
    <row r="31" spans="1:7" x14ac:dyDescent="0.3">
      <c r="A31" s="11" t="s">
        <v>121</v>
      </c>
      <c r="B31" s="11">
        <v>46175</v>
      </c>
      <c r="C31" s="6" t="s">
        <v>4</v>
      </c>
      <c r="D31" s="12">
        <v>0.375</v>
      </c>
      <c r="E31" s="12">
        <v>0.75</v>
      </c>
      <c r="F31" s="22">
        <v>0</v>
      </c>
      <c r="G31" s="22">
        <f>IF(OR(tblAttendance.[[#This Row],[Status]]="P",tblAttendance.[[#This Row],[Status]]="WFH"),100%,IF(tblAttendance.[[#This Row],[Status]]="L",0%,IF(tblAttendance.[[#This Row],[Status]]="A",0%,0%)))</f>
        <v>1</v>
      </c>
    </row>
    <row r="32" spans="1:7" x14ac:dyDescent="0.3">
      <c r="A32" s="8" t="s">
        <v>123</v>
      </c>
      <c r="B32" s="8">
        <v>46175</v>
      </c>
      <c r="C32" s="9" t="s">
        <v>4</v>
      </c>
      <c r="D32" s="10">
        <v>0.375</v>
      </c>
      <c r="E32" s="10">
        <v>0.75</v>
      </c>
      <c r="F32" s="21">
        <v>0</v>
      </c>
      <c r="G32" s="21">
        <f>IF(OR(tblAttendance.[[#This Row],[Status]]="P",tblAttendance.[[#This Row],[Status]]="WFH"),100%,IF(tblAttendance.[[#This Row],[Status]]="L",0%,IF(tblAttendance.[[#This Row],[Status]]="A",0%,0%)))</f>
        <v>1</v>
      </c>
    </row>
    <row r="33" spans="1:7" x14ac:dyDescent="0.3">
      <c r="A33" s="11" t="s">
        <v>125</v>
      </c>
      <c r="B33" s="11">
        <v>46175</v>
      </c>
      <c r="C33" s="6" t="s">
        <v>4</v>
      </c>
      <c r="D33" s="12">
        <v>0.375</v>
      </c>
      <c r="E33" s="12">
        <v>0.75</v>
      </c>
      <c r="F33" s="22">
        <v>0</v>
      </c>
      <c r="G33" s="22">
        <f>IF(OR(tblAttendance.[[#This Row],[Status]]="P",tblAttendance.[[#This Row],[Status]]="WFH"),100%,IF(tblAttendance.[[#This Row],[Status]]="L",0%,IF(tblAttendance.[[#This Row],[Status]]="A",0%,0%)))</f>
        <v>1</v>
      </c>
    </row>
    <row r="34" spans="1:7" x14ac:dyDescent="0.3">
      <c r="A34" s="8" t="s">
        <v>127</v>
      </c>
      <c r="B34" s="8">
        <v>46175</v>
      </c>
      <c r="C34" s="9" t="s">
        <v>4</v>
      </c>
      <c r="D34" s="10">
        <v>0.375</v>
      </c>
      <c r="E34" s="10">
        <v>0.75</v>
      </c>
      <c r="F34" s="21">
        <v>0</v>
      </c>
      <c r="G34" s="21">
        <f>IF(OR(tblAttendance.[[#This Row],[Status]]="P",tblAttendance.[[#This Row],[Status]]="WFH"),100%,IF(tblAttendance.[[#This Row],[Status]]="L",0%,IF(tblAttendance.[[#This Row],[Status]]="A",0%,0%)))</f>
        <v>1</v>
      </c>
    </row>
    <row r="35" spans="1:7" x14ac:dyDescent="0.3">
      <c r="A35" s="11" t="s">
        <v>129</v>
      </c>
      <c r="B35" s="11">
        <v>46175</v>
      </c>
      <c r="C35" s="6" t="s">
        <v>4</v>
      </c>
      <c r="D35" s="12">
        <v>0.375</v>
      </c>
      <c r="E35" s="12">
        <v>0.75</v>
      </c>
      <c r="F35" s="22">
        <v>0</v>
      </c>
      <c r="G35" s="22">
        <f>IF(OR(tblAttendance.[[#This Row],[Status]]="P",tblAttendance.[[#This Row],[Status]]="WFH"),100%,IF(tblAttendance.[[#This Row],[Status]]="L",0%,IF(tblAttendance.[[#This Row],[Status]]="A",0%,0%)))</f>
        <v>1</v>
      </c>
    </row>
    <row r="36" spans="1:7" x14ac:dyDescent="0.3">
      <c r="A36" s="8" t="s">
        <v>131</v>
      </c>
      <c r="B36" s="8">
        <v>46175</v>
      </c>
      <c r="C36" s="9" t="s">
        <v>4</v>
      </c>
      <c r="D36" s="10">
        <v>0.375</v>
      </c>
      <c r="E36" s="10">
        <v>0.75</v>
      </c>
      <c r="F36" s="21">
        <v>0</v>
      </c>
      <c r="G36" s="21">
        <f>IF(OR(tblAttendance.[[#This Row],[Status]]="P",tblAttendance.[[#This Row],[Status]]="WFH"),100%,IF(tblAttendance.[[#This Row],[Status]]="L",0%,IF(tblAttendance.[[#This Row],[Status]]="A",0%,0%)))</f>
        <v>1</v>
      </c>
    </row>
    <row r="37" spans="1:7" x14ac:dyDescent="0.3">
      <c r="A37" s="11" t="s">
        <v>133</v>
      </c>
      <c r="B37" s="11">
        <v>46175</v>
      </c>
      <c r="C37" s="6" t="s">
        <v>4</v>
      </c>
      <c r="D37" s="12">
        <v>0.375</v>
      </c>
      <c r="E37" s="12">
        <v>0.75</v>
      </c>
      <c r="F37" s="22">
        <v>0</v>
      </c>
      <c r="G37" s="22">
        <f>IF(OR(tblAttendance.[[#This Row],[Status]]="P",tblAttendance.[[#This Row],[Status]]="WFH"),100%,IF(tblAttendance.[[#This Row],[Status]]="L",0%,IF(tblAttendance.[[#This Row],[Status]]="A",0%,0%)))</f>
        <v>1</v>
      </c>
    </row>
    <row r="38" spans="1:7" x14ac:dyDescent="0.3">
      <c r="A38" s="8" t="s">
        <v>135</v>
      </c>
      <c r="B38" s="8">
        <v>46175</v>
      </c>
      <c r="C38" s="9" t="s">
        <v>4</v>
      </c>
      <c r="D38" s="10">
        <v>0.375</v>
      </c>
      <c r="E38" s="10">
        <v>0.75</v>
      </c>
      <c r="F38" s="21">
        <v>0</v>
      </c>
      <c r="G38" s="21">
        <f>IF(OR(tblAttendance.[[#This Row],[Status]]="P",tblAttendance.[[#This Row],[Status]]="WFH"),100%,IF(tblAttendance.[[#This Row],[Status]]="L",0%,IF(tblAttendance.[[#This Row],[Status]]="A",0%,0%)))</f>
        <v>1</v>
      </c>
    </row>
    <row r="39" spans="1:7" x14ac:dyDescent="0.3">
      <c r="A39" s="11" t="s">
        <v>137</v>
      </c>
      <c r="B39" s="11">
        <v>46175</v>
      </c>
      <c r="C39" s="6" t="s">
        <v>4</v>
      </c>
      <c r="D39" s="12">
        <v>0.375</v>
      </c>
      <c r="E39" s="12">
        <v>0.75</v>
      </c>
      <c r="F39" s="22">
        <v>0</v>
      </c>
      <c r="G39" s="22">
        <f>IF(OR(tblAttendance.[[#This Row],[Status]]="P",tblAttendance.[[#This Row],[Status]]="WFH"),100%,IF(tblAttendance.[[#This Row],[Status]]="L",0%,IF(tblAttendance.[[#This Row],[Status]]="A",0%,0%)))</f>
        <v>1</v>
      </c>
    </row>
    <row r="40" spans="1:7" x14ac:dyDescent="0.3">
      <c r="A40" s="8" t="s">
        <v>139</v>
      </c>
      <c r="B40" s="8">
        <v>46175</v>
      </c>
      <c r="C40" s="9" t="s">
        <v>4</v>
      </c>
      <c r="D40" s="10">
        <v>0.375</v>
      </c>
      <c r="E40" s="10">
        <v>0.75</v>
      </c>
      <c r="F40" s="21">
        <v>0</v>
      </c>
      <c r="G40" s="21">
        <f>IF(OR(tblAttendance.[[#This Row],[Status]]="P",tblAttendance.[[#This Row],[Status]]="WFH"),100%,IF(tblAttendance.[[#This Row],[Status]]="L",0%,IF(tblAttendance.[[#This Row],[Status]]="A",0%,0%)))</f>
        <v>1</v>
      </c>
    </row>
    <row r="41" spans="1:7" x14ac:dyDescent="0.3">
      <c r="A41" s="11" t="s">
        <v>141</v>
      </c>
      <c r="B41" s="11">
        <v>46175</v>
      </c>
      <c r="C41" s="6" t="s">
        <v>4</v>
      </c>
      <c r="D41" s="12">
        <v>0.375</v>
      </c>
      <c r="E41" s="12">
        <v>0.75</v>
      </c>
      <c r="F41" s="22">
        <v>0</v>
      </c>
      <c r="G41" s="22">
        <f>IF(OR(tblAttendance.[[#This Row],[Status]]="P",tblAttendance.[[#This Row],[Status]]="WFH"),100%,IF(tblAttendance.[[#This Row],[Status]]="L",0%,IF(tblAttendance.[[#This Row],[Status]]="A",0%,0%)))</f>
        <v>1</v>
      </c>
    </row>
    <row r="42" spans="1:7" x14ac:dyDescent="0.3">
      <c r="A42" s="8" t="s">
        <v>143</v>
      </c>
      <c r="B42" s="8">
        <v>46175</v>
      </c>
      <c r="C42" s="9" t="s">
        <v>4</v>
      </c>
      <c r="D42" s="10">
        <v>0.375</v>
      </c>
      <c r="E42" s="10">
        <v>0.75</v>
      </c>
      <c r="F42" s="21">
        <v>0</v>
      </c>
      <c r="G42" s="21">
        <f>IF(OR(tblAttendance.[[#This Row],[Status]]="P",tblAttendance.[[#This Row],[Status]]="WFH"),100%,IF(tblAttendance.[[#This Row],[Status]]="L",0%,IF(tblAttendance.[[#This Row],[Status]]="A",0%,0%)))</f>
        <v>1</v>
      </c>
    </row>
    <row r="43" spans="1:7" x14ac:dyDescent="0.3">
      <c r="A43" s="11" t="s">
        <v>145</v>
      </c>
      <c r="B43" s="11">
        <v>46175</v>
      </c>
      <c r="C43" s="6" t="s">
        <v>4</v>
      </c>
      <c r="D43" s="12">
        <v>0.375</v>
      </c>
      <c r="E43" s="12">
        <v>0.75</v>
      </c>
      <c r="F43" s="22">
        <v>0</v>
      </c>
      <c r="G43" s="22">
        <f>IF(OR(tblAttendance.[[#This Row],[Status]]="P",tblAttendance.[[#This Row],[Status]]="WFH"),100%,IF(tblAttendance.[[#This Row],[Status]]="L",0%,IF(tblAttendance.[[#This Row],[Status]]="A",0%,0%)))</f>
        <v>1</v>
      </c>
    </row>
    <row r="44" spans="1:7" x14ac:dyDescent="0.3">
      <c r="A44" s="8" t="s">
        <v>147</v>
      </c>
      <c r="B44" s="8">
        <v>46175</v>
      </c>
      <c r="C44" s="9" t="s">
        <v>4</v>
      </c>
      <c r="D44" s="10">
        <v>0.375</v>
      </c>
      <c r="E44" s="10">
        <v>0.75</v>
      </c>
      <c r="F44" s="21">
        <v>0</v>
      </c>
      <c r="G44" s="21">
        <f>IF(OR(tblAttendance.[[#This Row],[Status]]="P",tblAttendance.[[#This Row],[Status]]="WFH"),100%,IF(tblAttendance.[[#This Row],[Status]]="L",0%,IF(tblAttendance.[[#This Row],[Status]]="A",0%,0%)))</f>
        <v>1</v>
      </c>
    </row>
    <row r="45" spans="1:7" x14ac:dyDescent="0.3">
      <c r="A45" s="11" t="s">
        <v>149</v>
      </c>
      <c r="B45" s="11">
        <v>46175</v>
      </c>
      <c r="C45" s="6" t="s">
        <v>4</v>
      </c>
      <c r="D45" s="12">
        <v>0.375</v>
      </c>
      <c r="E45" s="12">
        <v>0.75</v>
      </c>
      <c r="F45" s="22">
        <v>0</v>
      </c>
      <c r="G45" s="22">
        <f>IF(OR(tblAttendance.[[#This Row],[Status]]="P",tblAttendance.[[#This Row],[Status]]="WFH"),100%,IF(tblAttendance.[[#This Row],[Status]]="L",0%,IF(tblAttendance.[[#This Row],[Status]]="A",0%,0%)))</f>
        <v>1</v>
      </c>
    </row>
    <row r="46" spans="1:7" x14ac:dyDescent="0.3">
      <c r="A46" s="8" t="s">
        <v>151</v>
      </c>
      <c r="B46" s="8">
        <v>46175</v>
      </c>
      <c r="C46" s="9" t="s">
        <v>4</v>
      </c>
      <c r="D46" s="10">
        <v>0.375</v>
      </c>
      <c r="E46" s="10">
        <v>0.75</v>
      </c>
      <c r="F46" s="21">
        <v>0</v>
      </c>
      <c r="G46" s="21">
        <f>IF(OR(tblAttendance.[[#This Row],[Status]]="P",tblAttendance.[[#This Row],[Status]]="WFH"),100%,IF(tblAttendance.[[#This Row],[Status]]="L",0%,IF(tblAttendance.[[#This Row],[Status]]="A",0%,0%)))</f>
        <v>1</v>
      </c>
    </row>
    <row r="47" spans="1:7" x14ac:dyDescent="0.3">
      <c r="A47" s="11" t="s">
        <v>153</v>
      </c>
      <c r="B47" s="11">
        <v>46175</v>
      </c>
      <c r="C47" s="6" t="s">
        <v>4</v>
      </c>
      <c r="D47" s="12">
        <v>0.375</v>
      </c>
      <c r="E47" s="12">
        <v>0.75</v>
      </c>
      <c r="F47" s="22">
        <v>0</v>
      </c>
      <c r="G47" s="22">
        <f>IF(OR(tblAttendance.[[#This Row],[Status]]="P",tblAttendance.[[#This Row],[Status]]="WFH"),100%,IF(tblAttendance.[[#This Row],[Status]]="L",0%,IF(tblAttendance.[[#This Row],[Status]]="A",0%,0%)))</f>
        <v>1</v>
      </c>
    </row>
    <row r="48" spans="1:7" x14ac:dyDescent="0.3">
      <c r="A48" s="8" t="s">
        <v>155</v>
      </c>
      <c r="B48" s="8">
        <v>46175</v>
      </c>
      <c r="C48" s="9" t="s">
        <v>4</v>
      </c>
      <c r="D48" s="10">
        <v>0.375</v>
      </c>
      <c r="E48" s="10">
        <v>0.75</v>
      </c>
      <c r="F48" s="21">
        <v>0</v>
      </c>
      <c r="G48" s="21">
        <f>IF(OR(tblAttendance.[[#This Row],[Status]]="P",tblAttendance.[[#This Row],[Status]]="WFH"),100%,IF(tblAttendance.[[#This Row],[Status]]="L",0%,IF(tblAttendance.[[#This Row],[Status]]="A",0%,0%)))</f>
        <v>1</v>
      </c>
    </row>
    <row r="49" spans="1:7" x14ac:dyDescent="0.3">
      <c r="A49" s="11" t="s">
        <v>157</v>
      </c>
      <c r="B49" s="11">
        <v>46175</v>
      </c>
      <c r="C49" s="6" t="s">
        <v>4</v>
      </c>
      <c r="D49" s="12">
        <v>0.375</v>
      </c>
      <c r="E49" s="12">
        <v>0.75</v>
      </c>
      <c r="F49" s="22">
        <v>0</v>
      </c>
      <c r="G49" s="22">
        <f>IF(OR(tblAttendance.[[#This Row],[Status]]="P",tblAttendance.[[#This Row],[Status]]="WFH"),100%,IF(tblAttendance.[[#This Row],[Status]]="L",0%,IF(tblAttendance.[[#This Row],[Status]]="A",0%,0%)))</f>
        <v>1</v>
      </c>
    </row>
    <row r="50" spans="1:7" x14ac:dyDescent="0.3">
      <c r="A50" s="8" t="s">
        <v>159</v>
      </c>
      <c r="B50" s="8">
        <v>46175</v>
      </c>
      <c r="C50" s="9" t="s">
        <v>4</v>
      </c>
      <c r="D50" s="10">
        <v>0.375</v>
      </c>
      <c r="E50" s="10">
        <v>0.75</v>
      </c>
      <c r="F50" s="21">
        <v>0</v>
      </c>
      <c r="G50" s="21">
        <f>IF(OR(tblAttendance.[[#This Row],[Status]]="P",tblAttendance.[[#This Row],[Status]]="WFH"),100%,IF(tblAttendance.[[#This Row],[Status]]="L",0%,IF(tblAttendance.[[#This Row],[Status]]="A",0%,0%)))</f>
        <v>1</v>
      </c>
    </row>
    <row r="51" spans="1:7" x14ac:dyDescent="0.3">
      <c r="A51" s="11" t="s">
        <v>161</v>
      </c>
      <c r="B51" s="11">
        <v>46175</v>
      </c>
      <c r="C51" s="6" t="s">
        <v>4</v>
      </c>
      <c r="D51" s="12">
        <v>0.375</v>
      </c>
      <c r="E51" s="12">
        <v>0.75</v>
      </c>
      <c r="F51" s="22">
        <v>0</v>
      </c>
      <c r="G51" s="22">
        <f>IF(OR(tblAttendance.[[#This Row],[Status]]="P",tblAttendance.[[#This Row],[Status]]="WFH"),100%,IF(tblAttendance.[[#This Row],[Status]]="L",0%,IF(tblAttendance.[[#This Row],[Status]]="A",0%,0%)))</f>
        <v>1</v>
      </c>
    </row>
    <row r="52" spans="1:7" x14ac:dyDescent="0.3">
      <c r="A52" s="8" t="s">
        <v>163</v>
      </c>
      <c r="B52" s="8">
        <v>46176</v>
      </c>
      <c r="C52" s="9" t="s">
        <v>4</v>
      </c>
      <c r="D52" s="10">
        <v>0.375</v>
      </c>
      <c r="E52" s="10">
        <v>0.75</v>
      </c>
      <c r="F52" s="21">
        <v>0</v>
      </c>
      <c r="G52" s="21">
        <f>IF(OR(tblAttendance.[[#This Row],[Status]]="P",tblAttendance.[[#This Row],[Status]]="WFH"),100%,IF(tblAttendance.[[#This Row],[Status]]="L",0%,IF(tblAttendance.[[#This Row],[Status]]="A",0%,0%)))</f>
        <v>1</v>
      </c>
    </row>
    <row r="53" spans="1:7" x14ac:dyDescent="0.3">
      <c r="A53" s="11" t="s">
        <v>165</v>
      </c>
      <c r="B53" s="11">
        <v>46176</v>
      </c>
      <c r="C53" s="6" t="s">
        <v>4</v>
      </c>
      <c r="D53" s="12">
        <v>0.375</v>
      </c>
      <c r="E53" s="12">
        <v>0.75</v>
      </c>
      <c r="F53" s="22">
        <v>0</v>
      </c>
      <c r="G53" s="22">
        <f>IF(OR(tblAttendance.[[#This Row],[Status]]="P",tblAttendance.[[#This Row],[Status]]="WFH"),100%,IF(tblAttendance.[[#This Row],[Status]]="L",0%,IF(tblAttendance.[[#This Row],[Status]]="A",0%,0%)))</f>
        <v>1</v>
      </c>
    </row>
    <row r="54" spans="1:7" x14ac:dyDescent="0.3">
      <c r="A54" s="8" t="s">
        <v>167</v>
      </c>
      <c r="B54" s="8">
        <v>46176</v>
      </c>
      <c r="C54" s="9" t="s">
        <v>7</v>
      </c>
      <c r="D54" s="10">
        <v>0.375</v>
      </c>
      <c r="E54" s="10">
        <v>0.75</v>
      </c>
      <c r="F54" s="21">
        <v>0</v>
      </c>
      <c r="G54" s="21">
        <f>IF(OR(tblAttendance.[[#This Row],[Status]]="P",tblAttendance.[[#This Row],[Status]]="WFH"),100%,IF(tblAttendance.[[#This Row],[Status]]="L",0%,IF(tblAttendance.[[#This Row],[Status]]="A",0%,0%)))</f>
        <v>1</v>
      </c>
    </row>
    <row r="55" spans="1:7" x14ac:dyDescent="0.3">
      <c r="A55" s="11" t="s">
        <v>169</v>
      </c>
      <c r="B55" s="11">
        <v>46176</v>
      </c>
      <c r="C55" s="6" t="s">
        <v>4</v>
      </c>
      <c r="D55" s="12">
        <v>0.375</v>
      </c>
      <c r="E55" s="12">
        <v>0.75</v>
      </c>
      <c r="F55" s="22">
        <v>0</v>
      </c>
      <c r="G55" s="22">
        <f>IF(OR(tblAttendance.[[#This Row],[Status]]="P",tblAttendance.[[#This Row],[Status]]="WFH"),100%,IF(tblAttendance.[[#This Row],[Status]]="L",0%,IF(tblAttendance.[[#This Row],[Status]]="A",0%,0%)))</f>
        <v>1</v>
      </c>
    </row>
    <row r="56" spans="1:7" x14ac:dyDescent="0.3">
      <c r="A56" s="8" t="s">
        <v>171</v>
      </c>
      <c r="B56" s="8">
        <v>46176</v>
      </c>
      <c r="C56" s="9" t="s">
        <v>5</v>
      </c>
      <c r="D56" s="10">
        <v>0</v>
      </c>
      <c r="E56" s="10">
        <v>0</v>
      </c>
      <c r="F56" s="21">
        <v>0</v>
      </c>
      <c r="G56" s="21">
        <f>IF(OR(tblAttendance.[[#This Row],[Status]]="P",tblAttendance.[[#This Row],[Status]]="WFH"),100%,IF(tblAttendance.[[#This Row],[Status]]="L",0%,IF(tblAttendance.[[#This Row],[Status]]="A",0%,0%)))</f>
        <v>0</v>
      </c>
    </row>
    <row r="57" spans="1:7" x14ac:dyDescent="0.3">
      <c r="A57" s="11" t="s">
        <v>173</v>
      </c>
      <c r="B57" s="11">
        <v>46176</v>
      </c>
      <c r="C57" s="6" t="s">
        <v>4</v>
      </c>
      <c r="D57" s="12">
        <v>0.375</v>
      </c>
      <c r="E57" s="12">
        <v>0.79166666666666663</v>
      </c>
      <c r="F57" s="22">
        <v>1</v>
      </c>
      <c r="G57" s="22">
        <f>IF(OR(tblAttendance.[[#This Row],[Status]]="P",tblAttendance.[[#This Row],[Status]]="WFH"),100%,IF(tblAttendance.[[#This Row],[Status]]="L",0%,IF(tblAttendance.[[#This Row],[Status]]="A",0%,0%)))</f>
        <v>1</v>
      </c>
    </row>
    <row r="58" spans="1:7" x14ac:dyDescent="0.3">
      <c r="A58" s="8" t="s">
        <v>175</v>
      </c>
      <c r="B58" s="8">
        <v>46176</v>
      </c>
      <c r="C58" s="9" t="s">
        <v>4</v>
      </c>
      <c r="D58" s="10">
        <v>0.375</v>
      </c>
      <c r="E58" s="10">
        <v>0.75</v>
      </c>
      <c r="F58" s="21">
        <v>0</v>
      </c>
      <c r="G58" s="21">
        <f>IF(OR(tblAttendance.[[#This Row],[Status]]="P",tblAttendance.[[#This Row],[Status]]="WFH"),100%,IF(tblAttendance.[[#This Row],[Status]]="L",0%,IF(tblAttendance.[[#This Row],[Status]]="A",0%,0%)))</f>
        <v>1</v>
      </c>
    </row>
    <row r="59" spans="1:7" x14ac:dyDescent="0.3">
      <c r="A59" s="11" t="s">
        <v>177</v>
      </c>
      <c r="B59" s="11">
        <v>46176</v>
      </c>
      <c r="C59" s="6" t="s">
        <v>4</v>
      </c>
      <c r="D59" s="12">
        <v>0.375</v>
      </c>
      <c r="E59" s="12">
        <v>0.75</v>
      </c>
      <c r="F59" s="22">
        <v>0</v>
      </c>
      <c r="G59" s="22">
        <f>IF(OR(tblAttendance.[[#This Row],[Status]]="P",tblAttendance.[[#This Row],[Status]]="WFH"),100%,IF(tblAttendance.[[#This Row],[Status]]="L",0%,IF(tblAttendance.[[#This Row],[Status]]="A",0%,0%)))</f>
        <v>1</v>
      </c>
    </row>
    <row r="60" spans="1:7" x14ac:dyDescent="0.3">
      <c r="A60" s="8" t="s">
        <v>179</v>
      </c>
      <c r="B60" s="8">
        <v>46176</v>
      </c>
      <c r="C60" s="9" t="s">
        <v>4</v>
      </c>
      <c r="D60" s="10">
        <v>0.375</v>
      </c>
      <c r="E60" s="10">
        <v>0.75</v>
      </c>
      <c r="F60" s="21">
        <v>0</v>
      </c>
      <c r="G60" s="21">
        <f>IF(OR(tblAttendance.[[#This Row],[Status]]="P",tblAttendance.[[#This Row],[Status]]="WFH"),100%,IF(tblAttendance.[[#This Row],[Status]]="L",0%,IF(tblAttendance.[[#This Row],[Status]]="A",0%,0%)))</f>
        <v>1</v>
      </c>
    </row>
    <row r="61" spans="1:7" x14ac:dyDescent="0.3">
      <c r="A61" s="11" t="s">
        <v>181</v>
      </c>
      <c r="B61" s="11">
        <v>46176</v>
      </c>
      <c r="C61" s="6" t="s">
        <v>4</v>
      </c>
      <c r="D61" s="12">
        <v>0.375</v>
      </c>
      <c r="E61" s="12">
        <v>0.75</v>
      </c>
      <c r="F61" s="22">
        <v>0</v>
      </c>
      <c r="G61" s="22">
        <f>IF(OR(tblAttendance.[[#This Row],[Status]]="P",tblAttendance.[[#This Row],[Status]]="WFH"),100%,IF(tblAttendance.[[#This Row],[Status]]="L",0%,IF(tblAttendance.[[#This Row],[Status]]="A",0%,0%)))</f>
        <v>1</v>
      </c>
    </row>
    <row r="62" spans="1:7" x14ac:dyDescent="0.3">
      <c r="A62" s="8" t="s">
        <v>183</v>
      </c>
      <c r="B62" s="8">
        <v>46176</v>
      </c>
      <c r="C62" s="9" t="s">
        <v>4</v>
      </c>
      <c r="D62" s="10">
        <v>0.375</v>
      </c>
      <c r="E62" s="10">
        <v>0.75</v>
      </c>
      <c r="F62" s="21">
        <v>0</v>
      </c>
      <c r="G62" s="21">
        <f>IF(OR(tblAttendance.[[#This Row],[Status]]="P",tblAttendance.[[#This Row],[Status]]="WFH"),100%,IF(tblAttendance.[[#This Row],[Status]]="L",0%,IF(tblAttendance.[[#This Row],[Status]]="A",0%,0%)))</f>
        <v>1</v>
      </c>
    </row>
    <row r="63" spans="1:7" x14ac:dyDescent="0.3">
      <c r="A63" s="11" t="s">
        <v>185</v>
      </c>
      <c r="B63" s="11">
        <v>46176</v>
      </c>
      <c r="C63" s="6" t="s">
        <v>4</v>
      </c>
      <c r="D63" s="12">
        <v>0.375</v>
      </c>
      <c r="E63" s="12">
        <v>0.75</v>
      </c>
      <c r="F63" s="22">
        <v>0</v>
      </c>
      <c r="G63" s="22">
        <f>IF(OR(tblAttendance.[[#This Row],[Status]]="P",tblAttendance.[[#This Row],[Status]]="WFH"),100%,IF(tblAttendance.[[#This Row],[Status]]="L",0%,IF(tblAttendance.[[#This Row],[Status]]="A",0%,0%)))</f>
        <v>1</v>
      </c>
    </row>
    <row r="64" spans="1:7" x14ac:dyDescent="0.3">
      <c r="A64" s="8" t="s">
        <v>187</v>
      </c>
      <c r="B64" s="8">
        <v>46176</v>
      </c>
      <c r="C64" s="9" t="s">
        <v>4</v>
      </c>
      <c r="D64" s="10">
        <v>0.375</v>
      </c>
      <c r="E64" s="10">
        <v>0.75</v>
      </c>
      <c r="F64" s="21">
        <v>0</v>
      </c>
      <c r="G64" s="21">
        <f>IF(OR(tblAttendance.[[#This Row],[Status]]="P",tblAttendance.[[#This Row],[Status]]="WFH"),100%,IF(tblAttendance.[[#This Row],[Status]]="L",0%,IF(tblAttendance.[[#This Row],[Status]]="A",0%,0%)))</f>
        <v>1</v>
      </c>
    </row>
    <row r="65" spans="1:7" x14ac:dyDescent="0.3">
      <c r="A65" s="11" t="s">
        <v>189</v>
      </c>
      <c r="B65" s="11">
        <v>46176</v>
      </c>
      <c r="C65" s="6" t="s">
        <v>4</v>
      </c>
      <c r="D65" s="12">
        <v>0.375</v>
      </c>
      <c r="E65" s="12">
        <v>0.75</v>
      </c>
      <c r="F65" s="22">
        <v>0</v>
      </c>
      <c r="G65" s="22">
        <f>IF(OR(tblAttendance.[[#This Row],[Status]]="P",tblAttendance.[[#This Row],[Status]]="WFH"),100%,IF(tblAttendance.[[#This Row],[Status]]="L",0%,IF(tblAttendance.[[#This Row],[Status]]="A",0%,0%)))</f>
        <v>1</v>
      </c>
    </row>
    <row r="66" spans="1:7" x14ac:dyDescent="0.3">
      <c r="A66" s="8" t="s">
        <v>191</v>
      </c>
      <c r="B66" s="8">
        <v>46176</v>
      </c>
      <c r="C66" s="9" t="s">
        <v>4</v>
      </c>
      <c r="D66" s="10">
        <v>0.375</v>
      </c>
      <c r="E66" s="10">
        <v>0.75</v>
      </c>
      <c r="F66" s="21">
        <v>0</v>
      </c>
      <c r="G66" s="21">
        <f>IF(OR(tblAttendance.[[#This Row],[Status]]="P",tblAttendance.[[#This Row],[Status]]="WFH"),100%,IF(tblAttendance.[[#This Row],[Status]]="L",0%,IF(tblAttendance.[[#This Row],[Status]]="A",0%,0%)))</f>
        <v>1</v>
      </c>
    </row>
    <row r="67" spans="1:7" x14ac:dyDescent="0.3">
      <c r="A67" s="11" t="s">
        <v>193</v>
      </c>
      <c r="B67" s="11">
        <v>46176</v>
      </c>
      <c r="C67" s="6" t="s">
        <v>4</v>
      </c>
      <c r="D67" s="12">
        <v>0.375</v>
      </c>
      <c r="E67" s="12">
        <v>0.75</v>
      </c>
      <c r="F67" s="22">
        <v>0</v>
      </c>
      <c r="G67" s="22">
        <f>IF(OR(tblAttendance.[[#This Row],[Status]]="P",tblAttendance.[[#This Row],[Status]]="WFH"),100%,IF(tblAttendance.[[#This Row],[Status]]="L",0%,IF(tblAttendance.[[#This Row],[Status]]="A",0%,0%)))</f>
        <v>1</v>
      </c>
    </row>
    <row r="68" spans="1:7" x14ac:dyDescent="0.3">
      <c r="A68" s="8" t="s">
        <v>195</v>
      </c>
      <c r="B68" s="8">
        <v>46176</v>
      </c>
      <c r="C68" s="9" t="s">
        <v>4</v>
      </c>
      <c r="D68" s="10">
        <v>0.375</v>
      </c>
      <c r="E68" s="10">
        <v>0.75</v>
      </c>
      <c r="F68" s="21">
        <v>0</v>
      </c>
      <c r="G68" s="21">
        <f>IF(OR(tblAttendance.[[#This Row],[Status]]="P",tblAttendance.[[#This Row],[Status]]="WFH"),100%,IF(tblAttendance.[[#This Row],[Status]]="L",0%,IF(tblAttendance.[[#This Row],[Status]]="A",0%,0%)))</f>
        <v>1</v>
      </c>
    </row>
    <row r="69" spans="1:7" x14ac:dyDescent="0.3">
      <c r="A69" s="11" t="s">
        <v>197</v>
      </c>
      <c r="B69" s="11">
        <v>46176</v>
      </c>
      <c r="C69" s="6" t="s">
        <v>4</v>
      </c>
      <c r="D69" s="12">
        <v>0.375</v>
      </c>
      <c r="E69" s="12">
        <v>0.75</v>
      </c>
      <c r="F69" s="22">
        <v>0</v>
      </c>
      <c r="G69" s="22">
        <f>IF(OR(tblAttendance.[[#This Row],[Status]]="P",tblAttendance.[[#This Row],[Status]]="WFH"),100%,IF(tblAttendance.[[#This Row],[Status]]="L",0%,IF(tblAttendance.[[#This Row],[Status]]="A",0%,0%)))</f>
        <v>1</v>
      </c>
    </row>
    <row r="70" spans="1:7" x14ac:dyDescent="0.3">
      <c r="A70" s="8" t="s">
        <v>199</v>
      </c>
      <c r="B70" s="8">
        <v>46176</v>
      </c>
      <c r="C70" s="9" t="s">
        <v>4</v>
      </c>
      <c r="D70" s="10">
        <v>0.375</v>
      </c>
      <c r="E70" s="10">
        <v>0.75</v>
      </c>
      <c r="F70" s="21">
        <v>0</v>
      </c>
      <c r="G70" s="21">
        <f>IF(OR(tblAttendance.[[#This Row],[Status]]="P",tblAttendance.[[#This Row],[Status]]="WFH"),100%,IF(tblAttendance.[[#This Row],[Status]]="L",0%,IF(tblAttendance.[[#This Row],[Status]]="A",0%,0%)))</f>
        <v>1</v>
      </c>
    </row>
    <row r="71" spans="1:7" x14ac:dyDescent="0.3">
      <c r="A71" s="11" t="s">
        <v>201</v>
      </c>
      <c r="B71" s="11">
        <v>46176</v>
      </c>
      <c r="C71" s="6" t="s">
        <v>4</v>
      </c>
      <c r="D71" s="12">
        <v>0.375</v>
      </c>
      <c r="E71" s="12">
        <v>0.75</v>
      </c>
      <c r="F71" s="22">
        <v>0</v>
      </c>
      <c r="G71" s="22">
        <f>IF(OR(tblAttendance.[[#This Row],[Status]]="P",tblAttendance.[[#This Row],[Status]]="WFH"),100%,IF(tblAttendance.[[#This Row],[Status]]="L",0%,IF(tblAttendance.[[#This Row],[Status]]="A",0%,0%)))</f>
        <v>1</v>
      </c>
    </row>
    <row r="72" spans="1:7" x14ac:dyDescent="0.3">
      <c r="A72" s="8" t="s">
        <v>203</v>
      </c>
      <c r="B72" s="8">
        <v>46176</v>
      </c>
      <c r="C72" s="9" t="s">
        <v>4</v>
      </c>
      <c r="D72" s="10">
        <v>0.375</v>
      </c>
      <c r="E72" s="10">
        <v>0.75</v>
      </c>
      <c r="F72" s="21">
        <v>0</v>
      </c>
      <c r="G72" s="21">
        <f>IF(OR(tblAttendance.[[#This Row],[Status]]="P",tblAttendance.[[#This Row],[Status]]="WFH"),100%,IF(tblAttendance.[[#This Row],[Status]]="L",0%,IF(tblAttendance.[[#This Row],[Status]]="A",0%,0%)))</f>
        <v>1</v>
      </c>
    </row>
    <row r="73" spans="1:7" x14ac:dyDescent="0.3">
      <c r="A73" s="11" t="s">
        <v>205</v>
      </c>
      <c r="B73" s="11">
        <v>46176</v>
      </c>
      <c r="C73" s="6" t="s">
        <v>4</v>
      </c>
      <c r="D73" s="12">
        <v>0.375</v>
      </c>
      <c r="E73" s="12">
        <v>0.75</v>
      </c>
      <c r="F73" s="22">
        <v>0</v>
      </c>
      <c r="G73" s="22">
        <f>IF(OR(tblAttendance.[[#This Row],[Status]]="P",tblAttendance.[[#This Row],[Status]]="WFH"),100%,IF(tblAttendance.[[#This Row],[Status]]="L",0%,IF(tblAttendance.[[#This Row],[Status]]="A",0%,0%)))</f>
        <v>1</v>
      </c>
    </row>
    <row r="74" spans="1:7" x14ac:dyDescent="0.3">
      <c r="A74" s="8" t="s">
        <v>207</v>
      </c>
      <c r="B74" s="8">
        <v>46176</v>
      </c>
      <c r="C74" s="9" t="s">
        <v>4</v>
      </c>
      <c r="D74" s="10">
        <v>0.375</v>
      </c>
      <c r="E74" s="10">
        <v>0.75</v>
      </c>
      <c r="F74" s="21">
        <v>0</v>
      </c>
      <c r="G74" s="21">
        <f>IF(OR(tblAttendance.[[#This Row],[Status]]="P",tblAttendance.[[#This Row],[Status]]="WFH"),100%,IF(tblAttendance.[[#This Row],[Status]]="L",0%,IF(tblAttendance.[[#This Row],[Status]]="A",0%,0%)))</f>
        <v>1</v>
      </c>
    </row>
    <row r="75" spans="1:7" x14ac:dyDescent="0.3">
      <c r="A75" s="11" t="s">
        <v>209</v>
      </c>
      <c r="B75" s="11">
        <v>46176</v>
      </c>
      <c r="C75" s="6" t="s">
        <v>4</v>
      </c>
      <c r="D75" s="12">
        <v>0.375</v>
      </c>
      <c r="E75" s="12">
        <v>0.75</v>
      </c>
      <c r="F75" s="22">
        <v>0</v>
      </c>
      <c r="G75" s="22">
        <f>IF(OR(tblAttendance.[[#This Row],[Status]]="P",tblAttendance.[[#This Row],[Status]]="WFH"),100%,IF(tblAttendance.[[#This Row],[Status]]="L",0%,IF(tblAttendance.[[#This Row],[Status]]="A",0%,0%)))</f>
        <v>1</v>
      </c>
    </row>
    <row r="76" spans="1:7" x14ac:dyDescent="0.3">
      <c r="A76" s="8" t="s">
        <v>211</v>
      </c>
      <c r="B76" s="8">
        <v>46176</v>
      </c>
      <c r="C76" s="9" t="s">
        <v>4</v>
      </c>
      <c r="D76" s="10">
        <v>0.375</v>
      </c>
      <c r="E76" s="10">
        <v>0.75</v>
      </c>
      <c r="F76" s="21">
        <v>0</v>
      </c>
      <c r="G76" s="21">
        <f>IF(OR(tblAttendance.[[#This Row],[Status]]="P",tblAttendance.[[#This Row],[Status]]="WFH"),100%,IF(tblAttendance.[[#This Row],[Status]]="L",0%,IF(tblAttendance.[[#This Row],[Status]]="A",0%,0%)))</f>
        <v>1</v>
      </c>
    </row>
    <row r="77" spans="1:7" x14ac:dyDescent="0.3">
      <c r="A77" s="11" t="s">
        <v>213</v>
      </c>
      <c r="B77" s="11">
        <v>46177</v>
      </c>
      <c r="C77" s="6" t="s">
        <v>4</v>
      </c>
      <c r="D77" s="12">
        <v>0.375</v>
      </c>
      <c r="E77" s="12">
        <v>0.75</v>
      </c>
      <c r="F77" s="22">
        <v>0</v>
      </c>
      <c r="G77" s="22">
        <f>IF(OR(tblAttendance.[[#This Row],[Status]]="P",tblAttendance.[[#This Row],[Status]]="WFH"),100%,IF(tblAttendance.[[#This Row],[Status]]="L",0%,IF(tblAttendance.[[#This Row],[Status]]="A",0%,0%)))</f>
        <v>1</v>
      </c>
    </row>
    <row r="78" spans="1:7" x14ac:dyDescent="0.3">
      <c r="A78" s="8" t="s">
        <v>215</v>
      </c>
      <c r="B78" s="8">
        <v>46177</v>
      </c>
      <c r="C78" s="9" t="s">
        <v>4</v>
      </c>
      <c r="D78" s="10">
        <v>0.375</v>
      </c>
      <c r="E78" s="10">
        <v>0.75</v>
      </c>
      <c r="F78" s="21">
        <v>0</v>
      </c>
      <c r="G78" s="21">
        <f>IF(OR(tblAttendance.[[#This Row],[Status]]="P",tblAttendance.[[#This Row],[Status]]="WFH"),100%,IF(tblAttendance.[[#This Row],[Status]]="L",0%,IF(tblAttendance.[[#This Row],[Status]]="A",0%,0%)))</f>
        <v>1</v>
      </c>
    </row>
    <row r="79" spans="1:7" x14ac:dyDescent="0.3">
      <c r="A79" s="11" t="s">
        <v>217</v>
      </c>
      <c r="B79" s="11">
        <v>46177</v>
      </c>
      <c r="C79" s="6" t="s">
        <v>4</v>
      </c>
      <c r="D79" s="12">
        <v>0.375</v>
      </c>
      <c r="E79" s="12">
        <v>0.75</v>
      </c>
      <c r="F79" s="22">
        <v>0</v>
      </c>
      <c r="G79" s="22">
        <f>IF(OR(tblAttendance.[[#This Row],[Status]]="P",tblAttendance.[[#This Row],[Status]]="WFH"),100%,IF(tblAttendance.[[#This Row],[Status]]="L",0%,IF(tblAttendance.[[#This Row],[Status]]="A",0%,0%)))</f>
        <v>1</v>
      </c>
    </row>
    <row r="80" spans="1:7" x14ac:dyDescent="0.3">
      <c r="A80" s="8" t="s">
        <v>219</v>
      </c>
      <c r="B80" s="8">
        <v>46177</v>
      </c>
      <c r="C80" s="9" t="s">
        <v>4</v>
      </c>
      <c r="D80" s="10">
        <v>0.375</v>
      </c>
      <c r="E80" s="10">
        <v>0.75</v>
      </c>
      <c r="F80" s="21">
        <v>0</v>
      </c>
      <c r="G80" s="21">
        <f>IF(OR(tblAttendance.[[#This Row],[Status]]="P",tblAttendance.[[#This Row],[Status]]="WFH"),100%,IF(tblAttendance.[[#This Row],[Status]]="L",0%,IF(tblAttendance.[[#This Row],[Status]]="A",0%,0%)))</f>
        <v>1</v>
      </c>
    </row>
    <row r="81" spans="1:7" x14ac:dyDescent="0.3">
      <c r="A81" s="11" t="s">
        <v>221</v>
      </c>
      <c r="B81" s="11">
        <v>46177</v>
      </c>
      <c r="C81" s="6" t="s">
        <v>4</v>
      </c>
      <c r="D81" s="12">
        <v>0.375</v>
      </c>
      <c r="E81" s="12">
        <v>0.75</v>
      </c>
      <c r="F81" s="22">
        <v>0</v>
      </c>
      <c r="G81" s="22">
        <f>IF(OR(tblAttendance.[[#This Row],[Status]]="P",tblAttendance.[[#This Row],[Status]]="WFH"),100%,IF(tblAttendance.[[#This Row],[Status]]="L",0%,IF(tblAttendance.[[#This Row],[Status]]="A",0%,0%)))</f>
        <v>1</v>
      </c>
    </row>
    <row r="82" spans="1:7" x14ac:dyDescent="0.3">
      <c r="A82" s="8" t="s">
        <v>223</v>
      </c>
      <c r="B82" s="8">
        <v>46177</v>
      </c>
      <c r="C82" s="9" t="s">
        <v>4</v>
      </c>
      <c r="D82" s="10">
        <v>0.375</v>
      </c>
      <c r="E82" s="10">
        <v>0.75</v>
      </c>
      <c r="F82" s="21">
        <v>0</v>
      </c>
      <c r="G82" s="21">
        <f>IF(OR(tblAttendance.[[#This Row],[Status]]="P",tblAttendance.[[#This Row],[Status]]="WFH"),100%,IF(tblAttendance.[[#This Row],[Status]]="L",0%,IF(tblAttendance.[[#This Row],[Status]]="A",0%,0%)))</f>
        <v>1</v>
      </c>
    </row>
    <row r="83" spans="1:7" x14ac:dyDescent="0.3">
      <c r="A83" s="11" t="s">
        <v>225</v>
      </c>
      <c r="B83" s="11">
        <v>46177</v>
      </c>
      <c r="C83" s="6" t="s">
        <v>4</v>
      </c>
      <c r="D83" s="12">
        <v>0.375</v>
      </c>
      <c r="E83" s="12">
        <v>0.75</v>
      </c>
      <c r="F83" s="22">
        <v>0</v>
      </c>
      <c r="G83" s="22">
        <f>IF(OR(tblAttendance.[[#This Row],[Status]]="P",tblAttendance.[[#This Row],[Status]]="WFH"),100%,IF(tblAttendance.[[#This Row],[Status]]="L",0%,IF(tblAttendance.[[#This Row],[Status]]="A",0%,0%)))</f>
        <v>1</v>
      </c>
    </row>
    <row r="84" spans="1:7" x14ac:dyDescent="0.3">
      <c r="A84" s="8" t="s">
        <v>227</v>
      </c>
      <c r="B84" s="8">
        <v>46177</v>
      </c>
      <c r="C84" s="9" t="s">
        <v>4</v>
      </c>
      <c r="D84" s="10">
        <v>0.375</v>
      </c>
      <c r="E84" s="10">
        <v>0.75</v>
      </c>
      <c r="F84" s="21">
        <v>0</v>
      </c>
      <c r="G84" s="21">
        <f>IF(OR(tblAttendance.[[#This Row],[Status]]="P",tblAttendance.[[#This Row],[Status]]="WFH"),100%,IF(tblAttendance.[[#This Row],[Status]]="L",0%,IF(tblAttendance.[[#This Row],[Status]]="A",0%,0%)))</f>
        <v>1</v>
      </c>
    </row>
    <row r="85" spans="1:7" x14ac:dyDescent="0.3">
      <c r="A85" s="11" t="s">
        <v>229</v>
      </c>
      <c r="B85" s="11">
        <v>46177</v>
      </c>
      <c r="C85" s="6" t="s">
        <v>4</v>
      </c>
      <c r="D85" s="12">
        <v>0.375</v>
      </c>
      <c r="E85" s="12">
        <v>0.75</v>
      </c>
      <c r="F85" s="22">
        <v>0</v>
      </c>
      <c r="G85" s="22">
        <f>IF(OR(tblAttendance.[[#This Row],[Status]]="P",tblAttendance.[[#This Row],[Status]]="WFH"),100%,IF(tblAttendance.[[#This Row],[Status]]="L",0%,IF(tblAttendance.[[#This Row],[Status]]="A",0%,0%)))</f>
        <v>1</v>
      </c>
    </row>
    <row r="86" spans="1:7" x14ac:dyDescent="0.3">
      <c r="A86" s="8" t="s">
        <v>231</v>
      </c>
      <c r="B86" s="8">
        <v>46177</v>
      </c>
      <c r="C86" s="9" t="s">
        <v>4</v>
      </c>
      <c r="D86" s="10">
        <v>0.375</v>
      </c>
      <c r="E86" s="10">
        <v>0.75</v>
      </c>
      <c r="F86" s="21">
        <v>0</v>
      </c>
      <c r="G86" s="21">
        <f>IF(OR(tblAttendance.[[#This Row],[Status]]="P",tblAttendance.[[#This Row],[Status]]="WFH"),100%,IF(tblAttendance.[[#This Row],[Status]]="L",0%,IF(tblAttendance.[[#This Row],[Status]]="A",0%,0%)))</f>
        <v>1</v>
      </c>
    </row>
    <row r="87" spans="1:7" x14ac:dyDescent="0.3">
      <c r="A87" s="11" t="s">
        <v>233</v>
      </c>
      <c r="B87" s="11">
        <v>46177</v>
      </c>
      <c r="C87" s="6" t="s">
        <v>4</v>
      </c>
      <c r="D87" s="12">
        <v>0.375</v>
      </c>
      <c r="E87" s="12">
        <v>0.75</v>
      </c>
      <c r="F87" s="22">
        <v>0</v>
      </c>
      <c r="G87" s="22">
        <f>IF(OR(tblAttendance.[[#This Row],[Status]]="P",tblAttendance.[[#This Row],[Status]]="WFH"),100%,IF(tblAttendance.[[#This Row],[Status]]="L",0%,IF(tblAttendance.[[#This Row],[Status]]="A",0%,0%)))</f>
        <v>1</v>
      </c>
    </row>
    <row r="88" spans="1:7" x14ac:dyDescent="0.3">
      <c r="A88" s="8" t="s">
        <v>235</v>
      </c>
      <c r="B88" s="8">
        <v>46177</v>
      </c>
      <c r="C88" s="9" t="s">
        <v>4</v>
      </c>
      <c r="D88" s="10">
        <v>0.375</v>
      </c>
      <c r="E88" s="10">
        <v>0.75</v>
      </c>
      <c r="F88" s="21">
        <v>0</v>
      </c>
      <c r="G88" s="21">
        <f>IF(OR(tblAttendance.[[#This Row],[Status]]="P",tblAttendance.[[#This Row],[Status]]="WFH"),100%,IF(tblAttendance.[[#This Row],[Status]]="L",0%,IF(tblAttendance.[[#This Row],[Status]]="A",0%,0%)))</f>
        <v>1</v>
      </c>
    </row>
    <row r="89" spans="1:7" x14ac:dyDescent="0.3">
      <c r="A89" s="11" t="s">
        <v>237</v>
      </c>
      <c r="B89" s="11">
        <v>46177</v>
      </c>
      <c r="C89" s="6" t="s">
        <v>4</v>
      </c>
      <c r="D89" s="12">
        <v>0.375</v>
      </c>
      <c r="E89" s="12">
        <v>0.75</v>
      </c>
      <c r="F89" s="22">
        <v>0</v>
      </c>
      <c r="G89" s="22">
        <f>IF(OR(tblAttendance.[[#This Row],[Status]]="P",tblAttendance.[[#This Row],[Status]]="WFH"),100%,IF(tblAttendance.[[#This Row],[Status]]="L",0%,IF(tblAttendance.[[#This Row],[Status]]="A",0%,0%)))</f>
        <v>1</v>
      </c>
    </row>
    <row r="90" spans="1:7" x14ac:dyDescent="0.3">
      <c r="A90" s="8" t="s">
        <v>239</v>
      </c>
      <c r="B90" s="8">
        <v>46177</v>
      </c>
      <c r="C90" s="9" t="s">
        <v>4</v>
      </c>
      <c r="D90" s="10">
        <v>0.375</v>
      </c>
      <c r="E90" s="10">
        <v>0.75</v>
      </c>
      <c r="F90" s="21">
        <v>0</v>
      </c>
      <c r="G90" s="21">
        <f>IF(OR(tblAttendance.[[#This Row],[Status]]="P",tblAttendance.[[#This Row],[Status]]="WFH"),100%,IF(tblAttendance.[[#This Row],[Status]]="L",0%,IF(tblAttendance.[[#This Row],[Status]]="A",0%,0%)))</f>
        <v>1</v>
      </c>
    </row>
    <row r="91" spans="1:7" x14ac:dyDescent="0.3">
      <c r="A91" s="11" t="s">
        <v>241</v>
      </c>
      <c r="B91" s="11">
        <v>46177</v>
      </c>
      <c r="C91" s="6" t="s">
        <v>4</v>
      </c>
      <c r="D91" s="12">
        <v>0.375</v>
      </c>
      <c r="E91" s="12">
        <v>0.75</v>
      </c>
      <c r="F91" s="22">
        <v>0</v>
      </c>
      <c r="G91" s="22">
        <f>IF(OR(tblAttendance.[[#This Row],[Status]]="P",tblAttendance.[[#This Row],[Status]]="WFH"),100%,IF(tblAttendance.[[#This Row],[Status]]="L",0%,IF(tblAttendance.[[#This Row],[Status]]="A",0%,0%)))</f>
        <v>1</v>
      </c>
    </row>
    <row r="92" spans="1:7" x14ac:dyDescent="0.3">
      <c r="A92" s="8" t="s">
        <v>243</v>
      </c>
      <c r="B92" s="8">
        <v>46177</v>
      </c>
      <c r="C92" s="9" t="s">
        <v>4</v>
      </c>
      <c r="D92" s="10">
        <v>0.375</v>
      </c>
      <c r="E92" s="10">
        <v>0.75</v>
      </c>
      <c r="F92" s="21">
        <v>0</v>
      </c>
      <c r="G92" s="21">
        <f>IF(OR(tblAttendance.[[#This Row],[Status]]="P",tblAttendance.[[#This Row],[Status]]="WFH"),100%,IF(tblAttendance.[[#This Row],[Status]]="L",0%,IF(tblAttendance.[[#This Row],[Status]]="A",0%,0%)))</f>
        <v>1</v>
      </c>
    </row>
    <row r="93" spans="1:7" x14ac:dyDescent="0.3">
      <c r="A93" s="11" t="s">
        <v>245</v>
      </c>
      <c r="B93" s="11">
        <v>46177</v>
      </c>
      <c r="C93" s="6" t="s">
        <v>4</v>
      </c>
      <c r="D93" s="12">
        <v>0.375</v>
      </c>
      <c r="E93" s="12">
        <v>0.75</v>
      </c>
      <c r="F93" s="22">
        <v>0</v>
      </c>
      <c r="G93" s="22">
        <f>IF(OR(tblAttendance.[[#This Row],[Status]]="P",tblAttendance.[[#This Row],[Status]]="WFH"),100%,IF(tblAttendance.[[#This Row],[Status]]="L",0%,IF(tblAttendance.[[#This Row],[Status]]="A",0%,0%)))</f>
        <v>1</v>
      </c>
    </row>
    <row r="94" spans="1:7" x14ac:dyDescent="0.3">
      <c r="A94" s="8" t="s">
        <v>247</v>
      </c>
      <c r="B94" s="8">
        <v>46177</v>
      </c>
      <c r="C94" s="9" t="s">
        <v>4</v>
      </c>
      <c r="D94" s="10">
        <v>0.375</v>
      </c>
      <c r="E94" s="10">
        <v>0.75</v>
      </c>
      <c r="F94" s="21">
        <v>0</v>
      </c>
      <c r="G94" s="21">
        <f>IF(OR(tblAttendance.[[#This Row],[Status]]="P",tblAttendance.[[#This Row],[Status]]="WFH"),100%,IF(tblAttendance.[[#This Row],[Status]]="L",0%,IF(tblAttendance.[[#This Row],[Status]]="A",0%,0%)))</f>
        <v>1</v>
      </c>
    </row>
    <row r="95" spans="1:7" x14ac:dyDescent="0.3">
      <c r="A95" s="11" t="s">
        <v>249</v>
      </c>
      <c r="B95" s="11">
        <v>46177</v>
      </c>
      <c r="C95" s="6" t="s">
        <v>4</v>
      </c>
      <c r="D95" s="12">
        <v>0.375</v>
      </c>
      <c r="E95" s="12">
        <v>0.75</v>
      </c>
      <c r="F95" s="22">
        <v>0</v>
      </c>
      <c r="G95" s="22">
        <f>IF(OR(tblAttendance.[[#This Row],[Status]]="P",tblAttendance.[[#This Row],[Status]]="WFH"),100%,IF(tblAttendance.[[#This Row],[Status]]="L",0%,IF(tblAttendance.[[#This Row],[Status]]="A",0%,0%)))</f>
        <v>1</v>
      </c>
    </row>
    <row r="96" spans="1:7" x14ac:dyDescent="0.3">
      <c r="A96" s="8" t="s">
        <v>251</v>
      </c>
      <c r="B96" s="8">
        <v>46177</v>
      </c>
      <c r="C96" s="9" t="s">
        <v>4</v>
      </c>
      <c r="D96" s="10">
        <v>0.375</v>
      </c>
      <c r="E96" s="10">
        <v>0.75</v>
      </c>
      <c r="F96" s="21">
        <v>0</v>
      </c>
      <c r="G96" s="21">
        <f>IF(OR(tblAttendance.[[#This Row],[Status]]="P",tblAttendance.[[#This Row],[Status]]="WFH"),100%,IF(tblAttendance.[[#This Row],[Status]]="L",0%,IF(tblAttendance.[[#This Row],[Status]]="A",0%,0%)))</f>
        <v>1</v>
      </c>
    </row>
    <row r="97" spans="1:7" x14ac:dyDescent="0.3">
      <c r="A97" s="11" t="s">
        <v>253</v>
      </c>
      <c r="B97" s="11">
        <v>46177</v>
      </c>
      <c r="C97" s="6" t="s">
        <v>4</v>
      </c>
      <c r="D97" s="12">
        <v>0.375</v>
      </c>
      <c r="E97" s="12">
        <v>0.75</v>
      </c>
      <c r="F97" s="22">
        <v>0</v>
      </c>
      <c r="G97" s="22">
        <f>IF(OR(tblAttendance.[[#This Row],[Status]]="P",tblAttendance.[[#This Row],[Status]]="WFH"),100%,IF(tblAttendance.[[#This Row],[Status]]="L",0%,IF(tblAttendance.[[#This Row],[Status]]="A",0%,0%)))</f>
        <v>1</v>
      </c>
    </row>
    <row r="98" spans="1:7" x14ac:dyDescent="0.3">
      <c r="A98" s="8" t="s">
        <v>255</v>
      </c>
      <c r="B98" s="8">
        <v>46177</v>
      </c>
      <c r="C98" s="9" t="s">
        <v>4</v>
      </c>
      <c r="D98" s="10">
        <v>0.375</v>
      </c>
      <c r="E98" s="10">
        <v>0.75</v>
      </c>
      <c r="F98" s="21">
        <v>0</v>
      </c>
      <c r="G98" s="21">
        <f>IF(OR(tblAttendance.[[#This Row],[Status]]="P",tblAttendance.[[#This Row],[Status]]="WFH"),100%,IF(tblAttendance.[[#This Row],[Status]]="L",0%,IF(tblAttendance.[[#This Row],[Status]]="A",0%,0%)))</f>
        <v>1</v>
      </c>
    </row>
    <row r="99" spans="1:7" x14ac:dyDescent="0.3">
      <c r="A99" s="11" t="s">
        <v>257</v>
      </c>
      <c r="B99" s="11">
        <v>46177</v>
      </c>
      <c r="C99" s="6" t="s">
        <v>4</v>
      </c>
      <c r="D99" s="12">
        <v>0.375</v>
      </c>
      <c r="E99" s="12">
        <v>0.75</v>
      </c>
      <c r="F99" s="22">
        <v>0</v>
      </c>
      <c r="G99" s="22">
        <f>IF(OR(tblAttendance.[[#This Row],[Status]]="P",tblAttendance.[[#This Row],[Status]]="WFH"),100%,IF(tblAttendance.[[#This Row],[Status]]="L",0%,IF(tblAttendance.[[#This Row],[Status]]="A",0%,0%)))</f>
        <v>1</v>
      </c>
    </row>
    <row r="100" spans="1:7" x14ac:dyDescent="0.3">
      <c r="A100" s="8" t="s">
        <v>259</v>
      </c>
      <c r="B100" s="8">
        <v>46177</v>
      </c>
      <c r="C100" s="9" t="s">
        <v>4</v>
      </c>
      <c r="D100" s="10">
        <v>0.375</v>
      </c>
      <c r="E100" s="10">
        <v>0.75</v>
      </c>
      <c r="F100" s="21">
        <v>0</v>
      </c>
      <c r="G100" s="21">
        <f>IF(OR(tblAttendance.[[#This Row],[Status]]="P",tblAttendance.[[#This Row],[Status]]="WFH"),100%,IF(tblAttendance.[[#This Row],[Status]]="L",0%,IF(tblAttendance.[[#This Row],[Status]]="A",0%,0%)))</f>
        <v>1</v>
      </c>
    </row>
    <row r="101" spans="1:7" x14ac:dyDescent="0.3">
      <c r="A101" s="11" t="s">
        <v>261</v>
      </c>
      <c r="B101" s="11">
        <v>46177</v>
      </c>
      <c r="C101" s="6" t="s">
        <v>4</v>
      </c>
      <c r="D101" s="12">
        <v>0.375</v>
      </c>
      <c r="E101" s="12">
        <v>0.75</v>
      </c>
      <c r="F101" s="22">
        <v>0</v>
      </c>
      <c r="G101" s="22">
        <f>IF(OR(tblAttendance.[[#This Row],[Status]]="P",tblAttendance.[[#This Row],[Status]]="WFH"),100%,IF(tblAttendance.[[#This Row],[Status]]="L",0%,IF(tblAttendance.[[#This Row],[Status]]="A",0%,0%)))</f>
        <v>1</v>
      </c>
    </row>
  </sheetData>
  <phoneticPr fontId="7" type="noConversion"/>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B4425B08-F6BD-4183-BD58-172357F6103D}">
          <x14:formula1>
            <xm:f>Lists!$A$2:$A$7</xm:f>
          </x14:formula1>
          <xm:sqref>B102:B998 C2:C101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AE8C1E-5295-4D9B-B860-F1187D424DC6}">
  <sheetPr codeName="Sheet4"/>
  <dimension ref="A1:L101"/>
  <sheetViews>
    <sheetView workbookViewId="0">
      <selection activeCell="L1" sqref="L1:L1048576"/>
    </sheetView>
  </sheetViews>
  <sheetFormatPr defaultRowHeight="14.4" x14ac:dyDescent="0.3"/>
  <cols>
    <col min="1" max="1" width="8.77734375" bestFit="1" customWidth="1"/>
    <col min="2" max="2" width="14.6640625" bestFit="1" customWidth="1"/>
    <col min="3" max="7" width="7.6640625" bestFit="1" customWidth="1"/>
    <col min="8" max="8" width="15.5546875" bestFit="1" customWidth="1"/>
    <col min="9" max="9" width="11.6640625" bestFit="1" customWidth="1"/>
    <col min="10" max="10" width="9.44140625" bestFit="1" customWidth="1"/>
  </cols>
  <sheetData>
    <row r="1" spans="1:12" x14ac:dyDescent="0.3">
      <c r="A1" t="s">
        <v>30</v>
      </c>
      <c r="B1" t="s">
        <v>35</v>
      </c>
      <c r="C1" t="s">
        <v>36</v>
      </c>
      <c r="D1" t="s">
        <v>37</v>
      </c>
      <c r="E1" t="s">
        <v>38</v>
      </c>
      <c r="F1" t="s">
        <v>39</v>
      </c>
      <c r="G1" t="s">
        <v>40</v>
      </c>
      <c r="H1" t="s">
        <v>41</v>
      </c>
      <c r="I1" t="s">
        <v>42</v>
      </c>
      <c r="J1" t="s">
        <v>2</v>
      </c>
      <c r="K1" t="s">
        <v>377</v>
      </c>
      <c r="L1" t="s">
        <v>373</v>
      </c>
    </row>
    <row r="2" spans="1:12" x14ac:dyDescent="0.3">
      <c r="A2" s="2" t="s">
        <v>45</v>
      </c>
      <c r="B2" t="s">
        <v>263</v>
      </c>
      <c r="C2">
        <v>4</v>
      </c>
      <c r="D2">
        <v>5</v>
      </c>
      <c r="E2">
        <v>4</v>
      </c>
      <c r="F2">
        <v>3</v>
      </c>
      <c r="G2">
        <v>4</v>
      </c>
      <c r="H2">
        <v>4</v>
      </c>
      <c r="I2">
        <v>4</v>
      </c>
      <c r="J2" t="s">
        <v>15</v>
      </c>
      <c r="K2">
        <f>AVERAGE(tblPerformance[[#This Row],[KRA1]:[KRA5]])</f>
        <v>4</v>
      </c>
      <c r="L2">
        <f t="shared" ref="L2:L33" si="0">ROUND((K2*0.6)+(H2*0.3)+(I2*0.1),2)</f>
        <v>4</v>
      </c>
    </row>
    <row r="3" spans="1:12" x14ac:dyDescent="0.3">
      <c r="A3" s="2" t="s">
        <v>51</v>
      </c>
      <c r="B3" t="s">
        <v>263</v>
      </c>
      <c r="C3">
        <v>5</v>
      </c>
      <c r="D3">
        <v>5</v>
      </c>
      <c r="E3">
        <v>5</v>
      </c>
      <c r="F3">
        <v>4</v>
      </c>
      <c r="G3">
        <v>5</v>
      </c>
      <c r="H3">
        <v>5</v>
      </c>
      <c r="I3">
        <v>5</v>
      </c>
      <c r="J3" t="s">
        <v>14</v>
      </c>
      <c r="K3">
        <f>AVERAGE(tblPerformance[[#This Row],[KRA1]:[KRA5]])</f>
        <v>4.8</v>
      </c>
      <c r="L3">
        <f t="shared" si="0"/>
        <v>4.88</v>
      </c>
    </row>
    <row r="4" spans="1:12" x14ac:dyDescent="0.3">
      <c r="A4" s="2" t="s">
        <v>57</v>
      </c>
      <c r="B4" t="s">
        <v>263</v>
      </c>
      <c r="C4">
        <v>3</v>
      </c>
      <c r="D4">
        <v>3</v>
      </c>
      <c r="E4">
        <v>4</v>
      </c>
      <c r="F4">
        <v>3</v>
      </c>
      <c r="G4">
        <v>3</v>
      </c>
      <c r="H4">
        <v>3</v>
      </c>
      <c r="I4">
        <v>3</v>
      </c>
      <c r="J4" t="s">
        <v>15</v>
      </c>
      <c r="K4">
        <f>AVERAGE(tblPerformance[[#This Row],[KRA1]:[KRA5]])</f>
        <v>3.2</v>
      </c>
      <c r="L4">
        <f t="shared" si="0"/>
        <v>3.12</v>
      </c>
    </row>
    <row r="5" spans="1:12" x14ac:dyDescent="0.3">
      <c r="A5" s="2" t="s">
        <v>61</v>
      </c>
      <c r="B5" t="s">
        <v>263</v>
      </c>
      <c r="C5">
        <v>4</v>
      </c>
      <c r="D5">
        <v>4</v>
      </c>
      <c r="E5">
        <v>4</v>
      </c>
      <c r="F5">
        <v>4</v>
      </c>
      <c r="G5">
        <v>4</v>
      </c>
      <c r="H5">
        <v>4</v>
      </c>
      <c r="I5">
        <v>4</v>
      </c>
      <c r="J5" t="s">
        <v>15</v>
      </c>
      <c r="K5">
        <f>AVERAGE(tblPerformance[[#This Row],[KRA1]:[KRA5]])</f>
        <v>4</v>
      </c>
      <c r="L5">
        <f t="shared" si="0"/>
        <v>4</v>
      </c>
    </row>
    <row r="6" spans="1:12" x14ac:dyDescent="0.3">
      <c r="A6" s="2" t="s">
        <v>66</v>
      </c>
      <c r="B6" t="s">
        <v>263</v>
      </c>
      <c r="C6">
        <v>2</v>
      </c>
      <c r="D6">
        <v>3</v>
      </c>
      <c r="E6">
        <v>2</v>
      </c>
      <c r="F6">
        <v>3</v>
      </c>
      <c r="G6">
        <v>2</v>
      </c>
      <c r="H6">
        <v>2</v>
      </c>
      <c r="I6">
        <v>3</v>
      </c>
      <c r="J6" t="s">
        <v>15</v>
      </c>
      <c r="K6">
        <f>AVERAGE(tblPerformance[[#This Row],[KRA1]:[KRA5]])</f>
        <v>2.4</v>
      </c>
      <c r="L6">
        <f t="shared" si="0"/>
        <v>2.34</v>
      </c>
    </row>
    <row r="7" spans="1:12" x14ac:dyDescent="0.3">
      <c r="A7" s="2" t="s">
        <v>70</v>
      </c>
      <c r="B7" t="s">
        <v>263</v>
      </c>
      <c r="C7">
        <v>5</v>
      </c>
      <c r="D7">
        <v>4</v>
      </c>
      <c r="E7">
        <v>5</v>
      </c>
      <c r="F7">
        <v>5</v>
      </c>
      <c r="G7">
        <v>4</v>
      </c>
      <c r="H7">
        <v>5</v>
      </c>
      <c r="I7">
        <v>4</v>
      </c>
      <c r="J7" t="s">
        <v>14</v>
      </c>
      <c r="K7">
        <f>AVERAGE(tblPerformance[[#This Row],[KRA1]:[KRA5]])</f>
        <v>4.5999999999999996</v>
      </c>
      <c r="L7">
        <f t="shared" si="0"/>
        <v>4.66</v>
      </c>
    </row>
    <row r="8" spans="1:12" x14ac:dyDescent="0.3">
      <c r="A8" s="2" t="s">
        <v>73</v>
      </c>
      <c r="B8" t="s">
        <v>263</v>
      </c>
      <c r="C8">
        <v>4</v>
      </c>
      <c r="D8">
        <v>4</v>
      </c>
      <c r="E8">
        <v>3</v>
      </c>
      <c r="F8">
        <v>4</v>
      </c>
      <c r="G8">
        <v>4</v>
      </c>
      <c r="H8">
        <v>4</v>
      </c>
      <c r="I8">
        <v>3</v>
      </c>
      <c r="J8" t="s">
        <v>15</v>
      </c>
      <c r="K8">
        <f>AVERAGE(tblPerformance[[#This Row],[KRA1]:[KRA5]])</f>
        <v>3.8</v>
      </c>
      <c r="L8">
        <f t="shared" si="0"/>
        <v>3.78</v>
      </c>
    </row>
    <row r="9" spans="1:12" x14ac:dyDescent="0.3">
      <c r="A9" s="2" t="s">
        <v>76</v>
      </c>
      <c r="B9" t="s">
        <v>263</v>
      </c>
      <c r="C9">
        <v>3</v>
      </c>
      <c r="D9">
        <v>4</v>
      </c>
      <c r="E9">
        <v>3</v>
      </c>
      <c r="F9">
        <v>3</v>
      </c>
      <c r="G9">
        <v>4</v>
      </c>
      <c r="H9">
        <v>3</v>
      </c>
      <c r="I9">
        <v>4</v>
      </c>
      <c r="J9" t="s">
        <v>15</v>
      </c>
      <c r="K9">
        <f>AVERAGE(tblPerformance[[#This Row],[KRA1]:[KRA5]])</f>
        <v>3.4</v>
      </c>
      <c r="L9">
        <f t="shared" si="0"/>
        <v>3.34</v>
      </c>
    </row>
    <row r="10" spans="1:12" x14ac:dyDescent="0.3">
      <c r="A10" s="2" t="s">
        <v>79</v>
      </c>
      <c r="B10" t="s">
        <v>263</v>
      </c>
      <c r="C10">
        <v>4</v>
      </c>
      <c r="D10">
        <v>5</v>
      </c>
      <c r="E10">
        <v>4</v>
      </c>
      <c r="F10">
        <v>4</v>
      </c>
      <c r="G10">
        <v>5</v>
      </c>
      <c r="H10">
        <v>4</v>
      </c>
      <c r="I10">
        <v>4</v>
      </c>
      <c r="J10" t="s">
        <v>15</v>
      </c>
      <c r="K10">
        <f>AVERAGE(tblPerformance[[#This Row],[KRA1]:[KRA5]])</f>
        <v>4.4000000000000004</v>
      </c>
      <c r="L10">
        <f t="shared" si="0"/>
        <v>4.24</v>
      </c>
    </row>
    <row r="11" spans="1:12" x14ac:dyDescent="0.3">
      <c r="A11" s="2" t="s">
        <v>81</v>
      </c>
      <c r="B11" t="s">
        <v>263</v>
      </c>
      <c r="C11">
        <v>5</v>
      </c>
      <c r="D11">
        <v>5</v>
      </c>
      <c r="E11">
        <v>4</v>
      </c>
      <c r="F11">
        <v>5</v>
      </c>
      <c r="G11">
        <v>5</v>
      </c>
      <c r="H11">
        <v>5</v>
      </c>
      <c r="I11">
        <v>5</v>
      </c>
      <c r="J11" t="s">
        <v>14</v>
      </c>
      <c r="K11">
        <f>AVERAGE(tblPerformance[[#This Row],[KRA1]:[KRA5]])</f>
        <v>4.8</v>
      </c>
      <c r="L11">
        <f t="shared" si="0"/>
        <v>4.88</v>
      </c>
    </row>
    <row r="12" spans="1:12" x14ac:dyDescent="0.3">
      <c r="A12" s="2" t="s">
        <v>83</v>
      </c>
      <c r="B12" t="s">
        <v>263</v>
      </c>
      <c r="C12">
        <v>3</v>
      </c>
      <c r="D12">
        <v>3</v>
      </c>
      <c r="E12">
        <v>3</v>
      </c>
      <c r="F12">
        <v>2</v>
      </c>
      <c r="G12">
        <v>3</v>
      </c>
      <c r="H12">
        <v>3</v>
      </c>
      <c r="I12">
        <v>3</v>
      </c>
      <c r="J12" t="s">
        <v>15</v>
      </c>
      <c r="K12">
        <f>AVERAGE(tblPerformance[[#This Row],[KRA1]:[KRA5]])</f>
        <v>2.8</v>
      </c>
      <c r="L12">
        <f t="shared" si="0"/>
        <v>2.88</v>
      </c>
    </row>
    <row r="13" spans="1:12" x14ac:dyDescent="0.3">
      <c r="A13" s="2" t="s">
        <v>85</v>
      </c>
      <c r="B13" t="s">
        <v>263</v>
      </c>
      <c r="C13">
        <v>4</v>
      </c>
      <c r="D13">
        <v>4</v>
      </c>
      <c r="E13">
        <v>4</v>
      </c>
      <c r="F13">
        <v>4</v>
      </c>
      <c r="G13">
        <v>4</v>
      </c>
      <c r="H13">
        <v>4</v>
      </c>
      <c r="I13">
        <v>4</v>
      </c>
      <c r="J13" t="s">
        <v>15</v>
      </c>
      <c r="K13">
        <f>AVERAGE(tblPerformance[[#This Row],[KRA1]:[KRA5]])</f>
        <v>4</v>
      </c>
      <c r="L13">
        <f t="shared" si="0"/>
        <v>4</v>
      </c>
    </row>
    <row r="14" spans="1:12" x14ac:dyDescent="0.3">
      <c r="A14" s="2" t="s">
        <v>87</v>
      </c>
      <c r="B14" t="s">
        <v>263</v>
      </c>
      <c r="C14">
        <v>5</v>
      </c>
      <c r="D14">
        <v>4</v>
      </c>
      <c r="E14">
        <v>5</v>
      </c>
      <c r="F14">
        <v>4</v>
      </c>
      <c r="G14">
        <v>5</v>
      </c>
      <c r="H14">
        <v>5</v>
      </c>
      <c r="I14">
        <v>4</v>
      </c>
      <c r="J14" t="s">
        <v>14</v>
      </c>
      <c r="K14">
        <f>AVERAGE(tblPerformance[[#This Row],[KRA1]:[KRA5]])</f>
        <v>4.5999999999999996</v>
      </c>
      <c r="L14">
        <f t="shared" si="0"/>
        <v>4.66</v>
      </c>
    </row>
    <row r="15" spans="1:12" x14ac:dyDescent="0.3">
      <c r="A15" s="2" t="s">
        <v>89</v>
      </c>
      <c r="B15" t="s">
        <v>263</v>
      </c>
      <c r="C15">
        <v>2</v>
      </c>
      <c r="D15">
        <v>2</v>
      </c>
      <c r="E15">
        <v>3</v>
      </c>
      <c r="F15">
        <v>2</v>
      </c>
      <c r="G15">
        <v>2</v>
      </c>
      <c r="H15">
        <v>2</v>
      </c>
      <c r="I15">
        <v>2</v>
      </c>
      <c r="J15" t="s">
        <v>15</v>
      </c>
      <c r="K15">
        <f>AVERAGE(tblPerformance[[#This Row],[KRA1]:[KRA5]])</f>
        <v>2.2000000000000002</v>
      </c>
      <c r="L15">
        <f t="shared" si="0"/>
        <v>2.12</v>
      </c>
    </row>
    <row r="16" spans="1:12" x14ac:dyDescent="0.3">
      <c r="A16" s="2" t="s">
        <v>91</v>
      </c>
      <c r="B16" t="s">
        <v>263</v>
      </c>
      <c r="C16">
        <v>4</v>
      </c>
      <c r="D16">
        <v>3</v>
      </c>
      <c r="E16">
        <v>4</v>
      </c>
      <c r="F16">
        <v>4</v>
      </c>
      <c r="G16">
        <v>3</v>
      </c>
      <c r="H16">
        <v>4</v>
      </c>
      <c r="I16">
        <v>3</v>
      </c>
      <c r="J16" t="s">
        <v>15</v>
      </c>
      <c r="K16">
        <f>AVERAGE(tblPerformance[[#This Row],[KRA1]:[KRA5]])</f>
        <v>3.6</v>
      </c>
      <c r="L16">
        <f t="shared" si="0"/>
        <v>3.66</v>
      </c>
    </row>
    <row r="17" spans="1:12" x14ac:dyDescent="0.3">
      <c r="A17" s="2" t="s">
        <v>93</v>
      </c>
      <c r="B17" t="s">
        <v>263</v>
      </c>
      <c r="C17">
        <v>3</v>
      </c>
      <c r="D17">
        <v>4</v>
      </c>
      <c r="E17">
        <v>4</v>
      </c>
      <c r="F17">
        <v>3</v>
      </c>
      <c r="G17">
        <v>4</v>
      </c>
      <c r="H17">
        <v>3</v>
      </c>
      <c r="I17">
        <v>4</v>
      </c>
      <c r="J17" t="s">
        <v>15</v>
      </c>
      <c r="K17">
        <f>AVERAGE(tblPerformance[[#This Row],[KRA1]:[KRA5]])</f>
        <v>3.6</v>
      </c>
      <c r="L17">
        <f t="shared" si="0"/>
        <v>3.46</v>
      </c>
    </row>
    <row r="18" spans="1:12" x14ac:dyDescent="0.3">
      <c r="A18" s="2" t="s">
        <v>95</v>
      </c>
      <c r="B18" t="s">
        <v>263</v>
      </c>
      <c r="C18">
        <v>5</v>
      </c>
      <c r="D18">
        <v>5</v>
      </c>
      <c r="E18">
        <v>5</v>
      </c>
      <c r="F18">
        <v>5</v>
      </c>
      <c r="G18">
        <v>5</v>
      </c>
      <c r="H18">
        <v>5</v>
      </c>
      <c r="I18">
        <v>5</v>
      </c>
      <c r="J18" t="s">
        <v>14</v>
      </c>
      <c r="K18">
        <f>AVERAGE(tblPerformance[[#This Row],[KRA1]:[KRA5]])</f>
        <v>5</v>
      </c>
      <c r="L18">
        <f t="shared" si="0"/>
        <v>5</v>
      </c>
    </row>
    <row r="19" spans="1:12" x14ac:dyDescent="0.3">
      <c r="A19" s="2" t="s">
        <v>97</v>
      </c>
      <c r="B19" t="s">
        <v>263</v>
      </c>
      <c r="C19">
        <v>4</v>
      </c>
      <c r="D19">
        <v>4</v>
      </c>
      <c r="E19">
        <v>4</v>
      </c>
      <c r="F19">
        <v>3</v>
      </c>
      <c r="G19">
        <v>4</v>
      </c>
      <c r="H19">
        <v>4</v>
      </c>
      <c r="I19">
        <v>4</v>
      </c>
      <c r="J19" t="s">
        <v>15</v>
      </c>
      <c r="K19">
        <f>AVERAGE(tblPerformance[[#This Row],[KRA1]:[KRA5]])</f>
        <v>3.8</v>
      </c>
      <c r="L19">
        <f t="shared" si="0"/>
        <v>3.88</v>
      </c>
    </row>
    <row r="20" spans="1:12" x14ac:dyDescent="0.3">
      <c r="A20" s="2" t="s">
        <v>99</v>
      </c>
      <c r="B20" t="s">
        <v>263</v>
      </c>
      <c r="C20">
        <v>3</v>
      </c>
      <c r="D20">
        <v>3</v>
      </c>
      <c r="E20">
        <v>3</v>
      </c>
      <c r="F20">
        <v>3</v>
      </c>
      <c r="G20">
        <v>3</v>
      </c>
      <c r="H20">
        <v>3</v>
      </c>
      <c r="I20">
        <v>3</v>
      </c>
      <c r="J20" t="s">
        <v>15</v>
      </c>
      <c r="K20">
        <f>AVERAGE(tblPerformance[[#This Row],[KRA1]:[KRA5]])</f>
        <v>3</v>
      </c>
      <c r="L20">
        <f t="shared" si="0"/>
        <v>3</v>
      </c>
    </row>
    <row r="21" spans="1:12" x14ac:dyDescent="0.3">
      <c r="A21" s="2" t="s">
        <v>101</v>
      </c>
      <c r="B21" t="s">
        <v>263</v>
      </c>
      <c r="C21">
        <v>4</v>
      </c>
      <c r="D21">
        <v>5</v>
      </c>
      <c r="E21">
        <v>4</v>
      </c>
      <c r="F21">
        <v>4</v>
      </c>
      <c r="G21">
        <v>4</v>
      </c>
      <c r="H21">
        <v>4</v>
      </c>
      <c r="I21">
        <v>4</v>
      </c>
      <c r="J21" t="s">
        <v>15</v>
      </c>
      <c r="K21">
        <f>AVERAGE(tblPerformance[[#This Row],[KRA1]:[KRA5]])</f>
        <v>4.2</v>
      </c>
      <c r="L21">
        <f t="shared" si="0"/>
        <v>4.12</v>
      </c>
    </row>
    <row r="22" spans="1:12" x14ac:dyDescent="0.3">
      <c r="A22" s="2" t="s">
        <v>103</v>
      </c>
      <c r="B22" t="s">
        <v>263</v>
      </c>
      <c r="C22">
        <v>5</v>
      </c>
      <c r="D22">
        <v>4</v>
      </c>
      <c r="E22">
        <v>4</v>
      </c>
      <c r="F22">
        <v>5</v>
      </c>
      <c r="G22">
        <v>4</v>
      </c>
      <c r="H22">
        <v>5</v>
      </c>
      <c r="I22">
        <v>4</v>
      </c>
      <c r="J22" t="s">
        <v>14</v>
      </c>
      <c r="K22">
        <f>AVERAGE(tblPerformance[[#This Row],[KRA1]:[KRA5]])</f>
        <v>4.4000000000000004</v>
      </c>
      <c r="L22">
        <f t="shared" si="0"/>
        <v>4.54</v>
      </c>
    </row>
    <row r="23" spans="1:12" x14ac:dyDescent="0.3">
      <c r="A23" s="2" t="s">
        <v>105</v>
      </c>
      <c r="B23" t="s">
        <v>263</v>
      </c>
      <c r="C23">
        <v>3</v>
      </c>
      <c r="D23">
        <v>4</v>
      </c>
      <c r="E23">
        <v>3</v>
      </c>
      <c r="F23">
        <v>3</v>
      </c>
      <c r="G23">
        <v>3</v>
      </c>
      <c r="H23">
        <v>3</v>
      </c>
      <c r="I23">
        <v>3</v>
      </c>
      <c r="J23" t="s">
        <v>15</v>
      </c>
      <c r="K23">
        <f>AVERAGE(tblPerformance[[#This Row],[KRA1]:[KRA5]])</f>
        <v>3.2</v>
      </c>
      <c r="L23">
        <f t="shared" si="0"/>
        <v>3.12</v>
      </c>
    </row>
    <row r="24" spans="1:12" x14ac:dyDescent="0.3">
      <c r="A24" s="2" t="s">
        <v>107</v>
      </c>
      <c r="B24" t="s">
        <v>263</v>
      </c>
      <c r="C24">
        <v>4</v>
      </c>
      <c r="D24">
        <v>4</v>
      </c>
      <c r="E24">
        <v>4</v>
      </c>
      <c r="F24">
        <v>4</v>
      </c>
      <c r="G24">
        <v>4</v>
      </c>
      <c r="H24">
        <v>4</v>
      </c>
      <c r="I24">
        <v>4</v>
      </c>
      <c r="J24" t="s">
        <v>15</v>
      </c>
      <c r="K24">
        <f>AVERAGE(tblPerformance[[#This Row],[KRA1]:[KRA5]])</f>
        <v>4</v>
      </c>
      <c r="L24">
        <f t="shared" si="0"/>
        <v>4</v>
      </c>
    </row>
    <row r="25" spans="1:12" x14ac:dyDescent="0.3">
      <c r="A25" s="2" t="s">
        <v>109</v>
      </c>
      <c r="B25" t="s">
        <v>263</v>
      </c>
      <c r="C25">
        <v>2</v>
      </c>
      <c r="D25">
        <v>3</v>
      </c>
      <c r="E25">
        <v>2</v>
      </c>
      <c r="F25">
        <v>2</v>
      </c>
      <c r="G25">
        <v>2</v>
      </c>
      <c r="H25">
        <v>2</v>
      </c>
      <c r="I25">
        <v>3</v>
      </c>
      <c r="J25" t="s">
        <v>15</v>
      </c>
      <c r="K25">
        <f>AVERAGE(tblPerformance[[#This Row],[KRA1]:[KRA5]])</f>
        <v>2.2000000000000002</v>
      </c>
      <c r="L25">
        <f t="shared" si="0"/>
        <v>2.2200000000000002</v>
      </c>
    </row>
    <row r="26" spans="1:12" x14ac:dyDescent="0.3">
      <c r="A26" s="2" t="s">
        <v>111</v>
      </c>
      <c r="B26" t="s">
        <v>263</v>
      </c>
      <c r="C26">
        <v>5</v>
      </c>
      <c r="D26">
        <v>5</v>
      </c>
      <c r="E26">
        <v>5</v>
      </c>
      <c r="F26">
        <v>5</v>
      </c>
      <c r="G26">
        <v>5</v>
      </c>
      <c r="H26">
        <v>5</v>
      </c>
      <c r="I26">
        <v>5</v>
      </c>
      <c r="J26" t="s">
        <v>14</v>
      </c>
      <c r="K26">
        <f>AVERAGE(tblPerformance[[#This Row],[KRA1]:[KRA5]])</f>
        <v>5</v>
      </c>
      <c r="L26">
        <f t="shared" si="0"/>
        <v>5</v>
      </c>
    </row>
    <row r="27" spans="1:12" x14ac:dyDescent="0.3">
      <c r="A27" s="2" t="s">
        <v>113</v>
      </c>
      <c r="B27" t="s">
        <v>263</v>
      </c>
      <c r="C27">
        <v>4</v>
      </c>
      <c r="D27">
        <v>3</v>
      </c>
      <c r="E27">
        <v>4</v>
      </c>
      <c r="F27">
        <v>4</v>
      </c>
      <c r="G27">
        <v>3</v>
      </c>
      <c r="H27">
        <v>4</v>
      </c>
      <c r="I27">
        <v>4</v>
      </c>
      <c r="J27" t="s">
        <v>15</v>
      </c>
      <c r="K27">
        <f>AVERAGE(tblPerformance[[#This Row],[KRA1]:[KRA5]])</f>
        <v>3.6</v>
      </c>
      <c r="L27">
        <f t="shared" si="0"/>
        <v>3.76</v>
      </c>
    </row>
    <row r="28" spans="1:12" x14ac:dyDescent="0.3">
      <c r="A28" s="2" t="s">
        <v>115</v>
      </c>
      <c r="B28" t="s">
        <v>263</v>
      </c>
      <c r="C28">
        <v>3</v>
      </c>
      <c r="D28">
        <v>3</v>
      </c>
      <c r="E28">
        <v>3</v>
      </c>
      <c r="F28">
        <v>3</v>
      </c>
      <c r="G28">
        <v>3</v>
      </c>
      <c r="H28">
        <v>3</v>
      </c>
      <c r="I28">
        <v>3</v>
      </c>
      <c r="J28" t="s">
        <v>15</v>
      </c>
      <c r="K28">
        <f>AVERAGE(tblPerformance[[#This Row],[KRA1]:[KRA5]])</f>
        <v>3</v>
      </c>
      <c r="L28">
        <f t="shared" si="0"/>
        <v>3</v>
      </c>
    </row>
    <row r="29" spans="1:12" x14ac:dyDescent="0.3">
      <c r="A29" s="2" t="s">
        <v>117</v>
      </c>
      <c r="B29" t="s">
        <v>263</v>
      </c>
      <c r="C29">
        <v>4</v>
      </c>
      <c r="D29">
        <v>4</v>
      </c>
      <c r="E29">
        <v>4</v>
      </c>
      <c r="F29">
        <v>4</v>
      </c>
      <c r="G29">
        <v>4</v>
      </c>
      <c r="H29">
        <v>4</v>
      </c>
      <c r="I29">
        <v>4</v>
      </c>
      <c r="J29" t="s">
        <v>15</v>
      </c>
      <c r="K29">
        <f>AVERAGE(tblPerformance[[#This Row],[KRA1]:[KRA5]])</f>
        <v>4</v>
      </c>
      <c r="L29">
        <f t="shared" si="0"/>
        <v>4</v>
      </c>
    </row>
    <row r="30" spans="1:12" x14ac:dyDescent="0.3">
      <c r="A30" s="2" t="s">
        <v>119</v>
      </c>
      <c r="B30" t="s">
        <v>263</v>
      </c>
      <c r="C30">
        <v>5</v>
      </c>
      <c r="D30">
        <v>4</v>
      </c>
      <c r="E30">
        <v>5</v>
      </c>
      <c r="F30">
        <v>4</v>
      </c>
      <c r="G30">
        <v>5</v>
      </c>
      <c r="H30">
        <v>5</v>
      </c>
      <c r="I30">
        <v>4</v>
      </c>
      <c r="J30" t="s">
        <v>14</v>
      </c>
      <c r="K30">
        <f>AVERAGE(tblPerformance[[#This Row],[KRA1]:[KRA5]])</f>
        <v>4.5999999999999996</v>
      </c>
      <c r="L30">
        <f t="shared" si="0"/>
        <v>4.66</v>
      </c>
    </row>
    <row r="31" spans="1:12" x14ac:dyDescent="0.3">
      <c r="A31" s="2" t="s">
        <v>121</v>
      </c>
      <c r="B31" t="s">
        <v>263</v>
      </c>
      <c r="C31">
        <v>2</v>
      </c>
      <c r="D31">
        <v>2</v>
      </c>
      <c r="E31">
        <v>2</v>
      </c>
      <c r="F31">
        <v>2</v>
      </c>
      <c r="G31">
        <v>2</v>
      </c>
      <c r="H31">
        <v>2</v>
      </c>
      <c r="I31">
        <v>2</v>
      </c>
      <c r="J31" t="s">
        <v>15</v>
      </c>
      <c r="K31">
        <f>AVERAGE(tblPerformance[[#This Row],[KRA1]:[KRA5]])</f>
        <v>2</v>
      </c>
      <c r="L31">
        <f t="shared" si="0"/>
        <v>2</v>
      </c>
    </row>
    <row r="32" spans="1:12" x14ac:dyDescent="0.3">
      <c r="A32" s="2" t="s">
        <v>123</v>
      </c>
      <c r="B32" t="s">
        <v>263</v>
      </c>
      <c r="C32">
        <v>4</v>
      </c>
      <c r="D32">
        <v>5</v>
      </c>
      <c r="E32">
        <v>4</v>
      </c>
      <c r="F32">
        <v>4</v>
      </c>
      <c r="G32">
        <v>5</v>
      </c>
      <c r="H32">
        <v>4</v>
      </c>
      <c r="I32">
        <v>4</v>
      </c>
      <c r="J32" t="s">
        <v>15</v>
      </c>
      <c r="K32">
        <f>AVERAGE(tblPerformance[[#This Row],[KRA1]:[KRA5]])</f>
        <v>4.4000000000000004</v>
      </c>
      <c r="L32">
        <f t="shared" si="0"/>
        <v>4.24</v>
      </c>
    </row>
    <row r="33" spans="1:12" x14ac:dyDescent="0.3">
      <c r="A33" s="2" t="s">
        <v>125</v>
      </c>
      <c r="B33" t="s">
        <v>263</v>
      </c>
      <c r="C33">
        <v>3</v>
      </c>
      <c r="D33">
        <v>3</v>
      </c>
      <c r="E33">
        <v>4</v>
      </c>
      <c r="F33">
        <v>3</v>
      </c>
      <c r="G33">
        <v>3</v>
      </c>
      <c r="H33">
        <v>3</v>
      </c>
      <c r="I33">
        <v>4</v>
      </c>
      <c r="J33" t="s">
        <v>15</v>
      </c>
      <c r="K33">
        <f>AVERAGE(tblPerformance[[#This Row],[KRA1]:[KRA5]])</f>
        <v>3.2</v>
      </c>
      <c r="L33">
        <f t="shared" si="0"/>
        <v>3.22</v>
      </c>
    </row>
    <row r="34" spans="1:12" x14ac:dyDescent="0.3">
      <c r="A34" s="2" t="s">
        <v>127</v>
      </c>
      <c r="B34" t="s">
        <v>263</v>
      </c>
      <c r="C34">
        <v>5</v>
      </c>
      <c r="D34">
        <v>5</v>
      </c>
      <c r="E34">
        <v>5</v>
      </c>
      <c r="F34">
        <v>5</v>
      </c>
      <c r="G34">
        <v>5</v>
      </c>
      <c r="H34">
        <v>5</v>
      </c>
      <c r="I34">
        <v>5</v>
      </c>
      <c r="J34" t="s">
        <v>14</v>
      </c>
      <c r="K34">
        <f>AVERAGE(tblPerformance[[#This Row],[KRA1]:[KRA5]])</f>
        <v>5</v>
      </c>
      <c r="L34">
        <f t="shared" ref="L34:L65" si="1">ROUND((K34*0.6)+(H34*0.3)+(I34*0.1),2)</f>
        <v>5</v>
      </c>
    </row>
    <row r="35" spans="1:12" x14ac:dyDescent="0.3">
      <c r="A35" s="2" t="s">
        <v>129</v>
      </c>
      <c r="B35" t="s">
        <v>263</v>
      </c>
      <c r="C35">
        <v>4</v>
      </c>
      <c r="D35">
        <v>4</v>
      </c>
      <c r="E35">
        <v>4</v>
      </c>
      <c r="F35">
        <v>4</v>
      </c>
      <c r="G35">
        <v>4</v>
      </c>
      <c r="H35">
        <v>4</v>
      </c>
      <c r="I35">
        <v>4</v>
      </c>
      <c r="J35" t="s">
        <v>15</v>
      </c>
      <c r="K35">
        <f>AVERAGE(tblPerformance[[#This Row],[KRA1]:[KRA5]])</f>
        <v>4</v>
      </c>
      <c r="L35">
        <f t="shared" si="1"/>
        <v>4</v>
      </c>
    </row>
    <row r="36" spans="1:12" x14ac:dyDescent="0.3">
      <c r="A36" s="2" t="s">
        <v>131</v>
      </c>
      <c r="B36" t="s">
        <v>263</v>
      </c>
      <c r="C36">
        <v>3</v>
      </c>
      <c r="D36">
        <v>2</v>
      </c>
      <c r="E36">
        <v>3</v>
      </c>
      <c r="F36">
        <v>3</v>
      </c>
      <c r="G36">
        <v>2</v>
      </c>
      <c r="H36">
        <v>3</v>
      </c>
      <c r="I36">
        <v>3</v>
      </c>
      <c r="J36" t="s">
        <v>15</v>
      </c>
      <c r="K36">
        <f>AVERAGE(tblPerformance[[#This Row],[KRA1]:[KRA5]])</f>
        <v>2.6</v>
      </c>
      <c r="L36">
        <f t="shared" si="1"/>
        <v>2.76</v>
      </c>
    </row>
    <row r="37" spans="1:12" x14ac:dyDescent="0.3">
      <c r="A37" s="2" t="s">
        <v>133</v>
      </c>
      <c r="B37" t="s">
        <v>263</v>
      </c>
      <c r="C37">
        <v>4</v>
      </c>
      <c r="D37">
        <v>4</v>
      </c>
      <c r="E37">
        <v>4</v>
      </c>
      <c r="F37">
        <v>4</v>
      </c>
      <c r="G37">
        <v>4</v>
      </c>
      <c r="H37">
        <v>4</v>
      </c>
      <c r="I37">
        <v>4</v>
      </c>
      <c r="J37" t="s">
        <v>15</v>
      </c>
      <c r="K37">
        <f>AVERAGE(tblPerformance[[#This Row],[KRA1]:[KRA5]])</f>
        <v>4</v>
      </c>
      <c r="L37">
        <f t="shared" si="1"/>
        <v>4</v>
      </c>
    </row>
    <row r="38" spans="1:12" x14ac:dyDescent="0.3">
      <c r="A38" s="2" t="s">
        <v>135</v>
      </c>
      <c r="B38" t="s">
        <v>263</v>
      </c>
      <c r="C38">
        <v>5</v>
      </c>
      <c r="D38">
        <v>4</v>
      </c>
      <c r="E38">
        <v>5</v>
      </c>
      <c r="F38">
        <v>5</v>
      </c>
      <c r="G38">
        <v>4</v>
      </c>
      <c r="H38">
        <v>5</v>
      </c>
      <c r="I38">
        <v>4</v>
      </c>
      <c r="J38" t="s">
        <v>14</v>
      </c>
      <c r="K38">
        <f>AVERAGE(tblPerformance[[#This Row],[KRA1]:[KRA5]])</f>
        <v>4.5999999999999996</v>
      </c>
      <c r="L38">
        <f t="shared" si="1"/>
        <v>4.66</v>
      </c>
    </row>
    <row r="39" spans="1:12" x14ac:dyDescent="0.3">
      <c r="A39" s="2" t="s">
        <v>137</v>
      </c>
      <c r="B39" t="s">
        <v>263</v>
      </c>
      <c r="C39">
        <v>3</v>
      </c>
      <c r="D39">
        <v>3</v>
      </c>
      <c r="E39">
        <v>3</v>
      </c>
      <c r="F39">
        <v>3</v>
      </c>
      <c r="G39">
        <v>3</v>
      </c>
      <c r="H39">
        <v>3</v>
      </c>
      <c r="I39">
        <v>3</v>
      </c>
      <c r="J39" t="s">
        <v>15</v>
      </c>
      <c r="K39">
        <f>AVERAGE(tblPerformance[[#This Row],[KRA1]:[KRA5]])</f>
        <v>3</v>
      </c>
      <c r="L39">
        <f t="shared" si="1"/>
        <v>3</v>
      </c>
    </row>
    <row r="40" spans="1:12" x14ac:dyDescent="0.3">
      <c r="A40" s="2" t="s">
        <v>139</v>
      </c>
      <c r="B40" t="s">
        <v>263</v>
      </c>
      <c r="C40">
        <v>4</v>
      </c>
      <c r="D40">
        <v>5</v>
      </c>
      <c r="E40">
        <v>4</v>
      </c>
      <c r="F40">
        <v>4</v>
      </c>
      <c r="G40">
        <v>4</v>
      </c>
      <c r="H40">
        <v>4</v>
      </c>
      <c r="I40">
        <v>4</v>
      </c>
      <c r="J40" t="s">
        <v>15</v>
      </c>
      <c r="K40">
        <f>AVERAGE(tblPerformance[[#This Row],[KRA1]:[KRA5]])</f>
        <v>4.2</v>
      </c>
      <c r="L40">
        <f t="shared" si="1"/>
        <v>4.12</v>
      </c>
    </row>
    <row r="41" spans="1:12" x14ac:dyDescent="0.3">
      <c r="A41" s="2" t="s">
        <v>141</v>
      </c>
      <c r="B41" t="s">
        <v>263</v>
      </c>
      <c r="C41">
        <v>5</v>
      </c>
      <c r="D41">
        <v>5</v>
      </c>
      <c r="E41">
        <v>5</v>
      </c>
      <c r="F41">
        <v>5</v>
      </c>
      <c r="G41">
        <v>5</v>
      </c>
      <c r="H41">
        <v>5</v>
      </c>
      <c r="I41">
        <v>5</v>
      </c>
      <c r="J41" t="s">
        <v>14</v>
      </c>
      <c r="K41">
        <f>AVERAGE(tblPerformance[[#This Row],[KRA1]:[KRA5]])</f>
        <v>5</v>
      </c>
      <c r="L41">
        <f t="shared" si="1"/>
        <v>5</v>
      </c>
    </row>
    <row r="42" spans="1:12" x14ac:dyDescent="0.3">
      <c r="A42" s="2" t="s">
        <v>143</v>
      </c>
      <c r="B42" t="s">
        <v>263</v>
      </c>
      <c r="C42">
        <v>2</v>
      </c>
      <c r="D42">
        <v>3</v>
      </c>
      <c r="E42">
        <v>2</v>
      </c>
      <c r="F42">
        <v>3</v>
      </c>
      <c r="G42">
        <v>2</v>
      </c>
      <c r="H42">
        <v>2</v>
      </c>
      <c r="I42">
        <v>3</v>
      </c>
      <c r="J42" t="s">
        <v>15</v>
      </c>
      <c r="K42">
        <f>AVERAGE(tblPerformance[[#This Row],[KRA1]:[KRA5]])</f>
        <v>2.4</v>
      </c>
      <c r="L42">
        <f t="shared" si="1"/>
        <v>2.34</v>
      </c>
    </row>
    <row r="43" spans="1:12" x14ac:dyDescent="0.3">
      <c r="A43" s="2" t="s">
        <v>145</v>
      </c>
      <c r="B43" t="s">
        <v>263</v>
      </c>
      <c r="C43">
        <v>4</v>
      </c>
      <c r="D43">
        <v>4</v>
      </c>
      <c r="E43">
        <v>4</v>
      </c>
      <c r="F43">
        <v>4</v>
      </c>
      <c r="G43">
        <v>4</v>
      </c>
      <c r="H43">
        <v>4</v>
      </c>
      <c r="I43">
        <v>4</v>
      </c>
      <c r="J43" t="s">
        <v>15</v>
      </c>
      <c r="K43">
        <f>AVERAGE(tblPerformance[[#This Row],[KRA1]:[KRA5]])</f>
        <v>4</v>
      </c>
      <c r="L43">
        <f t="shared" si="1"/>
        <v>4</v>
      </c>
    </row>
    <row r="44" spans="1:12" x14ac:dyDescent="0.3">
      <c r="A44" s="2" t="s">
        <v>147</v>
      </c>
      <c r="B44" t="s">
        <v>263</v>
      </c>
      <c r="C44">
        <v>5</v>
      </c>
      <c r="D44">
        <v>4</v>
      </c>
      <c r="E44">
        <v>5</v>
      </c>
      <c r="F44">
        <v>4</v>
      </c>
      <c r="G44">
        <v>5</v>
      </c>
      <c r="H44">
        <v>5</v>
      </c>
      <c r="I44">
        <v>4</v>
      </c>
      <c r="J44" t="s">
        <v>14</v>
      </c>
      <c r="K44">
        <f>AVERAGE(tblPerformance[[#This Row],[KRA1]:[KRA5]])</f>
        <v>4.5999999999999996</v>
      </c>
      <c r="L44">
        <f t="shared" si="1"/>
        <v>4.66</v>
      </c>
    </row>
    <row r="45" spans="1:12" x14ac:dyDescent="0.3">
      <c r="A45" s="2" t="s">
        <v>149</v>
      </c>
      <c r="B45" t="s">
        <v>263</v>
      </c>
      <c r="C45">
        <v>3</v>
      </c>
      <c r="D45">
        <v>3</v>
      </c>
      <c r="E45">
        <v>4</v>
      </c>
      <c r="F45">
        <v>3</v>
      </c>
      <c r="G45">
        <v>3</v>
      </c>
      <c r="H45">
        <v>3</v>
      </c>
      <c r="I45">
        <v>4</v>
      </c>
      <c r="J45" t="s">
        <v>15</v>
      </c>
      <c r="K45">
        <f>AVERAGE(tblPerformance[[#This Row],[KRA1]:[KRA5]])</f>
        <v>3.2</v>
      </c>
      <c r="L45">
        <f t="shared" si="1"/>
        <v>3.22</v>
      </c>
    </row>
    <row r="46" spans="1:12" x14ac:dyDescent="0.3">
      <c r="A46" s="2" t="s">
        <v>151</v>
      </c>
      <c r="B46" t="s">
        <v>263</v>
      </c>
      <c r="C46">
        <v>4</v>
      </c>
      <c r="D46">
        <v>4</v>
      </c>
      <c r="E46">
        <v>4</v>
      </c>
      <c r="F46">
        <v>4</v>
      </c>
      <c r="G46">
        <v>4</v>
      </c>
      <c r="H46">
        <v>4</v>
      </c>
      <c r="I46">
        <v>4</v>
      </c>
      <c r="J46" t="s">
        <v>15</v>
      </c>
      <c r="K46">
        <f>AVERAGE(tblPerformance[[#This Row],[KRA1]:[KRA5]])</f>
        <v>4</v>
      </c>
      <c r="L46">
        <f t="shared" si="1"/>
        <v>4</v>
      </c>
    </row>
    <row r="47" spans="1:12" x14ac:dyDescent="0.3">
      <c r="A47" s="2" t="s">
        <v>153</v>
      </c>
      <c r="B47" t="s">
        <v>263</v>
      </c>
      <c r="C47">
        <v>5</v>
      </c>
      <c r="D47">
        <v>5</v>
      </c>
      <c r="E47">
        <v>5</v>
      </c>
      <c r="F47">
        <v>5</v>
      </c>
      <c r="G47">
        <v>5</v>
      </c>
      <c r="H47">
        <v>5</v>
      </c>
      <c r="I47">
        <v>5</v>
      </c>
      <c r="J47" t="s">
        <v>14</v>
      </c>
      <c r="K47">
        <f>AVERAGE(tblPerformance[[#This Row],[KRA1]:[KRA5]])</f>
        <v>5</v>
      </c>
      <c r="L47">
        <f t="shared" si="1"/>
        <v>5</v>
      </c>
    </row>
    <row r="48" spans="1:12" x14ac:dyDescent="0.3">
      <c r="A48" s="2" t="s">
        <v>155</v>
      </c>
      <c r="B48" t="s">
        <v>263</v>
      </c>
      <c r="C48">
        <v>2</v>
      </c>
      <c r="D48">
        <v>2</v>
      </c>
      <c r="E48">
        <v>2</v>
      </c>
      <c r="F48">
        <v>2</v>
      </c>
      <c r="G48">
        <v>2</v>
      </c>
      <c r="H48">
        <v>2</v>
      </c>
      <c r="I48">
        <v>2</v>
      </c>
      <c r="J48" t="s">
        <v>15</v>
      </c>
      <c r="K48">
        <f>AVERAGE(tblPerformance[[#This Row],[KRA1]:[KRA5]])</f>
        <v>2</v>
      </c>
      <c r="L48">
        <f t="shared" si="1"/>
        <v>2</v>
      </c>
    </row>
    <row r="49" spans="1:12" x14ac:dyDescent="0.3">
      <c r="A49" s="2" t="s">
        <v>157</v>
      </c>
      <c r="B49" t="s">
        <v>263</v>
      </c>
      <c r="C49">
        <v>4</v>
      </c>
      <c r="D49">
        <v>3</v>
      </c>
      <c r="E49">
        <v>4</v>
      </c>
      <c r="F49">
        <v>4</v>
      </c>
      <c r="G49">
        <v>3</v>
      </c>
      <c r="H49">
        <v>4</v>
      </c>
      <c r="I49">
        <v>3</v>
      </c>
      <c r="J49" t="s">
        <v>15</v>
      </c>
      <c r="K49">
        <f>AVERAGE(tblPerformance[[#This Row],[KRA1]:[KRA5]])</f>
        <v>3.6</v>
      </c>
      <c r="L49">
        <f t="shared" si="1"/>
        <v>3.66</v>
      </c>
    </row>
    <row r="50" spans="1:12" x14ac:dyDescent="0.3">
      <c r="A50" s="2" t="s">
        <v>159</v>
      </c>
      <c r="B50" t="s">
        <v>263</v>
      </c>
      <c r="C50">
        <v>3</v>
      </c>
      <c r="D50">
        <v>4</v>
      </c>
      <c r="E50">
        <v>3</v>
      </c>
      <c r="F50">
        <v>3</v>
      </c>
      <c r="G50">
        <v>4</v>
      </c>
      <c r="H50">
        <v>3</v>
      </c>
      <c r="I50">
        <v>4</v>
      </c>
      <c r="J50" t="s">
        <v>15</v>
      </c>
      <c r="K50">
        <f>AVERAGE(tblPerformance[[#This Row],[KRA1]:[KRA5]])</f>
        <v>3.4</v>
      </c>
      <c r="L50">
        <f t="shared" si="1"/>
        <v>3.34</v>
      </c>
    </row>
    <row r="51" spans="1:12" x14ac:dyDescent="0.3">
      <c r="A51" s="2" t="s">
        <v>161</v>
      </c>
      <c r="B51" t="s">
        <v>263</v>
      </c>
      <c r="C51">
        <v>4</v>
      </c>
      <c r="D51">
        <v>4</v>
      </c>
      <c r="E51">
        <v>4</v>
      </c>
      <c r="F51">
        <v>4</v>
      </c>
      <c r="G51">
        <v>4</v>
      </c>
      <c r="H51">
        <v>4</v>
      </c>
      <c r="I51">
        <v>4</v>
      </c>
      <c r="J51" t="s">
        <v>15</v>
      </c>
      <c r="K51">
        <f>AVERAGE(tblPerformance[[#This Row],[KRA1]:[KRA5]])</f>
        <v>4</v>
      </c>
      <c r="L51">
        <f t="shared" si="1"/>
        <v>4</v>
      </c>
    </row>
    <row r="52" spans="1:12" x14ac:dyDescent="0.3">
      <c r="A52" s="2" t="s">
        <v>163</v>
      </c>
      <c r="B52" t="s">
        <v>263</v>
      </c>
      <c r="C52">
        <v>5</v>
      </c>
      <c r="D52">
        <v>4</v>
      </c>
      <c r="E52">
        <v>5</v>
      </c>
      <c r="F52">
        <v>5</v>
      </c>
      <c r="G52">
        <v>4</v>
      </c>
      <c r="H52">
        <v>5</v>
      </c>
      <c r="I52">
        <v>4</v>
      </c>
      <c r="J52" t="s">
        <v>14</v>
      </c>
      <c r="K52">
        <f>AVERAGE(tblPerformance[[#This Row],[KRA1]:[KRA5]])</f>
        <v>4.5999999999999996</v>
      </c>
      <c r="L52">
        <f t="shared" si="1"/>
        <v>4.66</v>
      </c>
    </row>
    <row r="53" spans="1:12" x14ac:dyDescent="0.3">
      <c r="A53" s="2" t="s">
        <v>165</v>
      </c>
      <c r="B53" t="s">
        <v>263</v>
      </c>
      <c r="C53">
        <v>3</v>
      </c>
      <c r="D53">
        <v>3</v>
      </c>
      <c r="E53">
        <v>3</v>
      </c>
      <c r="F53">
        <v>3</v>
      </c>
      <c r="G53">
        <v>3</v>
      </c>
      <c r="H53">
        <v>3</v>
      </c>
      <c r="I53">
        <v>3</v>
      </c>
      <c r="J53" t="s">
        <v>15</v>
      </c>
      <c r="K53">
        <f>AVERAGE(tblPerformance[[#This Row],[KRA1]:[KRA5]])</f>
        <v>3</v>
      </c>
      <c r="L53">
        <f t="shared" si="1"/>
        <v>3</v>
      </c>
    </row>
    <row r="54" spans="1:12" x14ac:dyDescent="0.3">
      <c r="A54" s="2" t="s">
        <v>167</v>
      </c>
      <c r="B54" t="s">
        <v>263</v>
      </c>
      <c r="C54">
        <v>4</v>
      </c>
      <c r="D54">
        <v>5</v>
      </c>
      <c r="E54">
        <v>4</v>
      </c>
      <c r="F54">
        <v>4</v>
      </c>
      <c r="G54">
        <v>5</v>
      </c>
      <c r="H54">
        <v>4</v>
      </c>
      <c r="I54">
        <v>4</v>
      </c>
      <c r="J54" t="s">
        <v>15</v>
      </c>
      <c r="K54">
        <f>AVERAGE(tblPerformance[[#This Row],[KRA1]:[KRA5]])</f>
        <v>4.4000000000000004</v>
      </c>
      <c r="L54">
        <f t="shared" si="1"/>
        <v>4.24</v>
      </c>
    </row>
    <row r="55" spans="1:12" x14ac:dyDescent="0.3">
      <c r="A55" s="2" t="s">
        <v>169</v>
      </c>
      <c r="B55" t="s">
        <v>263</v>
      </c>
      <c r="C55">
        <v>5</v>
      </c>
      <c r="D55">
        <v>5</v>
      </c>
      <c r="E55">
        <v>5</v>
      </c>
      <c r="F55">
        <v>5</v>
      </c>
      <c r="G55">
        <v>5</v>
      </c>
      <c r="H55">
        <v>5</v>
      </c>
      <c r="I55">
        <v>5</v>
      </c>
      <c r="J55" t="s">
        <v>14</v>
      </c>
      <c r="K55">
        <f>AVERAGE(tblPerformance[[#This Row],[KRA1]:[KRA5]])</f>
        <v>5</v>
      </c>
      <c r="L55">
        <f t="shared" si="1"/>
        <v>5</v>
      </c>
    </row>
    <row r="56" spans="1:12" x14ac:dyDescent="0.3">
      <c r="A56" s="2" t="s">
        <v>171</v>
      </c>
      <c r="B56" t="s">
        <v>263</v>
      </c>
      <c r="C56">
        <v>2</v>
      </c>
      <c r="D56">
        <v>3</v>
      </c>
      <c r="E56">
        <v>2</v>
      </c>
      <c r="F56">
        <v>3</v>
      </c>
      <c r="G56">
        <v>2</v>
      </c>
      <c r="H56">
        <v>2</v>
      </c>
      <c r="I56">
        <v>3</v>
      </c>
      <c r="J56" t="s">
        <v>15</v>
      </c>
      <c r="K56">
        <f>AVERAGE(tblPerformance[[#This Row],[KRA1]:[KRA5]])</f>
        <v>2.4</v>
      </c>
      <c r="L56">
        <f t="shared" si="1"/>
        <v>2.34</v>
      </c>
    </row>
    <row r="57" spans="1:12" x14ac:dyDescent="0.3">
      <c r="A57" s="2" t="s">
        <v>173</v>
      </c>
      <c r="B57" t="s">
        <v>263</v>
      </c>
      <c r="C57">
        <v>4</v>
      </c>
      <c r="D57">
        <v>4</v>
      </c>
      <c r="E57">
        <v>4</v>
      </c>
      <c r="F57">
        <v>4</v>
      </c>
      <c r="G57">
        <v>4</v>
      </c>
      <c r="H57">
        <v>4</v>
      </c>
      <c r="I57">
        <v>4</v>
      </c>
      <c r="J57" t="s">
        <v>15</v>
      </c>
      <c r="K57">
        <f>AVERAGE(tblPerformance[[#This Row],[KRA1]:[KRA5]])</f>
        <v>4</v>
      </c>
      <c r="L57">
        <f t="shared" si="1"/>
        <v>4</v>
      </c>
    </row>
    <row r="58" spans="1:12" x14ac:dyDescent="0.3">
      <c r="A58" s="2" t="s">
        <v>175</v>
      </c>
      <c r="B58" t="s">
        <v>263</v>
      </c>
      <c r="C58">
        <v>5</v>
      </c>
      <c r="D58">
        <v>4</v>
      </c>
      <c r="E58">
        <v>5</v>
      </c>
      <c r="F58">
        <v>4</v>
      </c>
      <c r="G58">
        <v>5</v>
      </c>
      <c r="H58">
        <v>5</v>
      </c>
      <c r="I58">
        <v>4</v>
      </c>
      <c r="J58" t="s">
        <v>14</v>
      </c>
      <c r="K58">
        <f>AVERAGE(tblPerformance[[#This Row],[KRA1]:[KRA5]])</f>
        <v>4.5999999999999996</v>
      </c>
      <c r="L58">
        <f t="shared" si="1"/>
        <v>4.66</v>
      </c>
    </row>
    <row r="59" spans="1:12" x14ac:dyDescent="0.3">
      <c r="A59" s="2" t="s">
        <v>177</v>
      </c>
      <c r="B59" t="s">
        <v>263</v>
      </c>
      <c r="C59">
        <v>3</v>
      </c>
      <c r="D59">
        <v>3</v>
      </c>
      <c r="E59">
        <v>4</v>
      </c>
      <c r="F59">
        <v>3</v>
      </c>
      <c r="G59">
        <v>3</v>
      </c>
      <c r="H59">
        <v>3</v>
      </c>
      <c r="I59">
        <v>4</v>
      </c>
      <c r="J59" t="s">
        <v>15</v>
      </c>
      <c r="K59">
        <f>AVERAGE(tblPerformance[[#This Row],[KRA1]:[KRA5]])</f>
        <v>3.2</v>
      </c>
      <c r="L59">
        <f t="shared" si="1"/>
        <v>3.22</v>
      </c>
    </row>
    <row r="60" spans="1:12" x14ac:dyDescent="0.3">
      <c r="A60" s="2" t="s">
        <v>179</v>
      </c>
      <c r="B60" t="s">
        <v>263</v>
      </c>
      <c r="C60">
        <v>4</v>
      </c>
      <c r="D60">
        <v>4</v>
      </c>
      <c r="E60">
        <v>4</v>
      </c>
      <c r="F60">
        <v>4</v>
      </c>
      <c r="G60">
        <v>4</v>
      </c>
      <c r="H60">
        <v>4</v>
      </c>
      <c r="I60">
        <v>4</v>
      </c>
      <c r="J60" t="s">
        <v>15</v>
      </c>
      <c r="K60">
        <f>AVERAGE(tblPerformance[[#This Row],[KRA1]:[KRA5]])</f>
        <v>4</v>
      </c>
      <c r="L60">
        <f t="shared" si="1"/>
        <v>4</v>
      </c>
    </row>
    <row r="61" spans="1:12" x14ac:dyDescent="0.3">
      <c r="A61" s="2" t="s">
        <v>181</v>
      </c>
      <c r="B61" t="s">
        <v>263</v>
      </c>
      <c r="C61">
        <v>5</v>
      </c>
      <c r="D61">
        <v>5</v>
      </c>
      <c r="E61">
        <v>5</v>
      </c>
      <c r="F61">
        <v>5</v>
      </c>
      <c r="G61">
        <v>5</v>
      </c>
      <c r="H61">
        <v>5</v>
      </c>
      <c r="I61">
        <v>5</v>
      </c>
      <c r="J61" t="s">
        <v>14</v>
      </c>
      <c r="K61">
        <f>AVERAGE(tblPerformance[[#This Row],[KRA1]:[KRA5]])</f>
        <v>5</v>
      </c>
      <c r="L61">
        <f t="shared" si="1"/>
        <v>5</v>
      </c>
    </row>
    <row r="62" spans="1:12" x14ac:dyDescent="0.3">
      <c r="A62" s="2" t="s">
        <v>183</v>
      </c>
      <c r="B62" t="s">
        <v>263</v>
      </c>
      <c r="C62">
        <v>2</v>
      </c>
      <c r="D62">
        <v>2</v>
      </c>
      <c r="E62">
        <v>2</v>
      </c>
      <c r="F62">
        <v>2</v>
      </c>
      <c r="G62">
        <v>2</v>
      </c>
      <c r="H62">
        <v>2</v>
      </c>
      <c r="I62">
        <v>2</v>
      </c>
      <c r="J62" t="s">
        <v>15</v>
      </c>
      <c r="K62">
        <f>AVERAGE(tblPerformance[[#This Row],[KRA1]:[KRA5]])</f>
        <v>2</v>
      </c>
      <c r="L62">
        <f t="shared" si="1"/>
        <v>2</v>
      </c>
    </row>
    <row r="63" spans="1:12" x14ac:dyDescent="0.3">
      <c r="A63" s="2" t="s">
        <v>185</v>
      </c>
      <c r="B63" t="s">
        <v>263</v>
      </c>
      <c r="C63">
        <v>4</v>
      </c>
      <c r="D63">
        <v>3</v>
      </c>
      <c r="E63">
        <v>4</v>
      </c>
      <c r="F63">
        <v>4</v>
      </c>
      <c r="G63">
        <v>3</v>
      </c>
      <c r="H63">
        <v>4</v>
      </c>
      <c r="I63">
        <v>3</v>
      </c>
      <c r="J63" t="s">
        <v>15</v>
      </c>
      <c r="K63">
        <f>AVERAGE(tblPerformance[[#This Row],[KRA1]:[KRA5]])</f>
        <v>3.6</v>
      </c>
      <c r="L63">
        <f t="shared" si="1"/>
        <v>3.66</v>
      </c>
    </row>
    <row r="64" spans="1:12" x14ac:dyDescent="0.3">
      <c r="A64" s="2" t="s">
        <v>187</v>
      </c>
      <c r="B64" t="s">
        <v>263</v>
      </c>
      <c r="C64">
        <v>3</v>
      </c>
      <c r="D64">
        <v>4</v>
      </c>
      <c r="E64">
        <v>3</v>
      </c>
      <c r="F64">
        <v>3</v>
      </c>
      <c r="G64">
        <v>4</v>
      </c>
      <c r="H64">
        <v>3</v>
      </c>
      <c r="I64">
        <v>4</v>
      </c>
      <c r="J64" t="s">
        <v>15</v>
      </c>
      <c r="K64">
        <f>AVERAGE(tblPerformance[[#This Row],[KRA1]:[KRA5]])</f>
        <v>3.4</v>
      </c>
      <c r="L64">
        <f t="shared" si="1"/>
        <v>3.34</v>
      </c>
    </row>
    <row r="65" spans="1:12" x14ac:dyDescent="0.3">
      <c r="A65" s="2" t="s">
        <v>189</v>
      </c>
      <c r="B65" t="s">
        <v>263</v>
      </c>
      <c r="C65">
        <v>4</v>
      </c>
      <c r="D65">
        <v>4</v>
      </c>
      <c r="E65">
        <v>4</v>
      </c>
      <c r="F65">
        <v>4</v>
      </c>
      <c r="G65">
        <v>4</v>
      </c>
      <c r="H65">
        <v>4</v>
      </c>
      <c r="I65">
        <v>4</v>
      </c>
      <c r="J65" t="s">
        <v>15</v>
      </c>
      <c r="K65">
        <f>AVERAGE(tblPerformance[[#This Row],[KRA1]:[KRA5]])</f>
        <v>4</v>
      </c>
      <c r="L65">
        <f t="shared" si="1"/>
        <v>4</v>
      </c>
    </row>
    <row r="66" spans="1:12" x14ac:dyDescent="0.3">
      <c r="A66" s="2" t="s">
        <v>191</v>
      </c>
      <c r="B66" t="s">
        <v>263</v>
      </c>
      <c r="C66">
        <v>5</v>
      </c>
      <c r="D66">
        <v>4</v>
      </c>
      <c r="E66">
        <v>5</v>
      </c>
      <c r="F66">
        <v>5</v>
      </c>
      <c r="G66">
        <v>4</v>
      </c>
      <c r="H66">
        <v>5</v>
      </c>
      <c r="I66">
        <v>4</v>
      </c>
      <c r="J66" t="s">
        <v>14</v>
      </c>
      <c r="K66">
        <f>AVERAGE(tblPerformance[[#This Row],[KRA1]:[KRA5]])</f>
        <v>4.5999999999999996</v>
      </c>
      <c r="L66">
        <f t="shared" ref="L66:L97" si="2">ROUND((K66*0.6)+(H66*0.3)+(I66*0.1),2)</f>
        <v>4.66</v>
      </c>
    </row>
    <row r="67" spans="1:12" x14ac:dyDescent="0.3">
      <c r="A67" s="2" t="s">
        <v>193</v>
      </c>
      <c r="B67" t="s">
        <v>263</v>
      </c>
      <c r="C67">
        <v>3</v>
      </c>
      <c r="D67">
        <v>3</v>
      </c>
      <c r="E67">
        <v>3</v>
      </c>
      <c r="F67">
        <v>3</v>
      </c>
      <c r="G67">
        <v>3</v>
      </c>
      <c r="H67">
        <v>3</v>
      </c>
      <c r="I67">
        <v>3</v>
      </c>
      <c r="J67" t="s">
        <v>15</v>
      </c>
      <c r="K67">
        <f>AVERAGE(tblPerformance[[#This Row],[KRA1]:[KRA5]])</f>
        <v>3</v>
      </c>
      <c r="L67">
        <f t="shared" si="2"/>
        <v>3</v>
      </c>
    </row>
    <row r="68" spans="1:12" x14ac:dyDescent="0.3">
      <c r="A68" s="2" t="s">
        <v>195</v>
      </c>
      <c r="B68" t="s">
        <v>263</v>
      </c>
      <c r="C68">
        <v>4</v>
      </c>
      <c r="D68">
        <v>5</v>
      </c>
      <c r="E68">
        <v>4</v>
      </c>
      <c r="F68">
        <v>4</v>
      </c>
      <c r="G68">
        <v>5</v>
      </c>
      <c r="H68">
        <v>4</v>
      </c>
      <c r="I68">
        <v>4</v>
      </c>
      <c r="J68" t="s">
        <v>15</v>
      </c>
      <c r="K68">
        <f>AVERAGE(tblPerformance[[#This Row],[KRA1]:[KRA5]])</f>
        <v>4.4000000000000004</v>
      </c>
      <c r="L68">
        <f t="shared" si="2"/>
        <v>4.24</v>
      </c>
    </row>
    <row r="69" spans="1:12" x14ac:dyDescent="0.3">
      <c r="A69" s="2" t="s">
        <v>197</v>
      </c>
      <c r="B69" t="s">
        <v>263</v>
      </c>
      <c r="C69">
        <v>5</v>
      </c>
      <c r="D69">
        <v>5</v>
      </c>
      <c r="E69">
        <v>5</v>
      </c>
      <c r="F69">
        <v>5</v>
      </c>
      <c r="G69">
        <v>5</v>
      </c>
      <c r="H69">
        <v>5</v>
      </c>
      <c r="I69">
        <v>5</v>
      </c>
      <c r="J69" t="s">
        <v>14</v>
      </c>
      <c r="K69">
        <f>AVERAGE(tblPerformance[[#This Row],[KRA1]:[KRA5]])</f>
        <v>5</v>
      </c>
      <c r="L69">
        <f t="shared" si="2"/>
        <v>5</v>
      </c>
    </row>
    <row r="70" spans="1:12" x14ac:dyDescent="0.3">
      <c r="A70" s="2" t="s">
        <v>199</v>
      </c>
      <c r="B70" t="s">
        <v>263</v>
      </c>
      <c r="C70">
        <v>2</v>
      </c>
      <c r="D70">
        <v>3</v>
      </c>
      <c r="E70">
        <v>2</v>
      </c>
      <c r="F70">
        <v>3</v>
      </c>
      <c r="G70">
        <v>2</v>
      </c>
      <c r="H70">
        <v>2</v>
      </c>
      <c r="I70">
        <v>3</v>
      </c>
      <c r="J70" t="s">
        <v>15</v>
      </c>
      <c r="K70">
        <f>AVERAGE(tblPerformance[[#This Row],[KRA1]:[KRA5]])</f>
        <v>2.4</v>
      </c>
      <c r="L70">
        <f t="shared" si="2"/>
        <v>2.34</v>
      </c>
    </row>
    <row r="71" spans="1:12" x14ac:dyDescent="0.3">
      <c r="A71" s="2" t="s">
        <v>201</v>
      </c>
      <c r="B71" t="s">
        <v>263</v>
      </c>
      <c r="C71">
        <v>4</v>
      </c>
      <c r="D71">
        <v>4</v>
      </c>
      <c r="E71">
        <v>4</v>
      </c>
      <c r="F71">
        <v>4</v>
      </c>
      <c r="G71">
        <v>4</v>
      </c>
      <c r="H71">
        <v>4</v>
      </c>
      <c r="I71">
        <v>4</v>
      </c>
      <c r="J71" t="s">
        <v>15</v>
      </c>
      <c r="K71">
        <f>AVERAGE(tblPerformance[[#This Row],[KRA1]:[KRA5]])</f>
        <v>4</v>
      </c>
      <c r="L71">
        <f t="shared" si="2"/>
        <v>4</v>
      </c>
    </row>
    <row r="72" spans="1:12" x14ac:dyDescent="0.3">
      <c r="A72" s="2" t="s">
        <v>203</v>
      </c>
      <c r="B72" t="s">
        <v>263</v>
      </c>
      <c r="C72">
        <v>5</v>
      </c>
      <c r="D72">
        <v>4</v>
      </c>
      <c r="E72">
        <v>5</v>
      </c>
      <c r="F72">
        <v>4</v>
      </c>
      <c r="G72">
        <v>5</v>
      </c>
      <c r="H72">
        <v>5</v>
      </c>
      <c r="I72">
        <v>4</v>
      </c>
      <c r="J72" t="s">
        <v>14</v>
      </c>
      <c r="K72">
        <f>AVERAGE(tblPerformance[[#This Row],[KRA1]:[KRA5]])</f>
        <v>4.5999999999999996</v>
      </c>
      <c r="L72">
        <f t="shared" si="2"/>
        <v>4.66</v>
      </c>
    </row>
    <row r="73" spans="1:12" x14ac:dyDescent="0.3">
      <c r="A73" s="2" t="s">
        <v>205</v>
      </c>
      <c r="B73" t="s">
        <v>263</v>
      </c>
      <c r="C73">
        <v>3</v>
      </c>
      <c r="D73">
        <v>3</v>
      </c>
      <c r="E73">
        <v>4</v>
      </c>
      <c r="F73">
        <v>3</v>
      </c>
      <c r="G73">
        <v>3</v>
      </c>
      <c r="H73">
        <v>3</v>
      </c>
      <c r="I73">
        <v>4</v>
      </c>
      <c r="J73" t="s">
        <v>15</v>
      </c>
      <c r="K73">
        <f>AVERAGE(tblPerformance[[#This Row],[KRA1]:[KRA5]])</f>
        <v>3.2</v>
      </c>
      <c r="L73">
        <f t="shared" si="2"/>
        <v>3.22</v>
      </c>
    </row>
    <row r="74" spans="1:12" x14ac:dyDescent="0.3">
      <c r="A74" s="2" t="s">
        <v>207</v>
      </c>
      <c r="B74" t="s">
        <v>263</v>
      </c>
      <c r="C74">
        <v>4</v>
      </c>
      <c r="D74">
        <v>4</v>
      </c>
      <c r="E74">
        <v>4</v>
      </c>
      <c r="F74">
        <v>4</v>
      </c>
      <c r="G74">
        <v>4</v>
      </c>
      <c r="H74">
        <v>4</v>
      </c>
      <c r="I74">
        <v>4</v>
      </c>
      <c r="J74" t="s">
        <v>15</v>
      </c>
      <c r="K74">
        <f>AVERAGE(tblPerformance[[#This Row],[KRA1]:[KRA5]])</f>
        <v>4</v>
      </c>
      <c r="L74">
        <f t="shared" si="2"/>
        <v>4</v>
      </c>
    </row>
    <row r="75" spans="1:12" x14ac:dyDescent="0.3">
      <c r="A75" s="2" t="s">
        <v>209</v>
      </c>
      <c r="B75" t="s">
        <v>263</v>
      </c>
      <c r="C75">
        <v>5</v>
      </c>
      <c r="D75">
        <v>5</v>
      </c>
      <c r="E75">
        <v>5</v>
      </c>
      <c r="F75">
        <v>5</v>
      </c>
      <c r="G75">
        <v>5</v>
      </c>
      <c r="H75">
        <v>5</v>
      </c>
      <c r="I75">
        <v>5</v>
      </c>
      <c r="J75" t="s">
        <v>14</v>
      </c>
      <c r="K75">
        <f>AVERAGE(tblPerformance[[#This Row],[KRA1]:[KRA5]])</f>
        <v>5</v>
      </c>
      <c r="L75">
        <f t="shared" si="2"/>
        <v>5</v>
      </c>
    </row>
    <row r="76" spans="1:12" x14ac:dyDescent="0.3">
      <c r="A76" s="2" t="s">
        <v>211</v>
      </c>
      <c r="B76" t="s">
        <v>263</v>
      </c>
      <c r="C76">
        <v>2</v>
      </c>
      <c r="D76">
        <v>2</v>
      </c>
      <c r="E76">
        <v>2</v>
      </c>
      <c r="F76">
        <v>2</v>
      </c>
      <c r="G76">
        <v>2</v>
      </c>
      <c r="H76">
        <v>2</v>
      </c>
      <c r="I76">
        <v>2</v>
      </c>
      <c r="J76" t="s">
        <v>15</v>
      </c>
      <c r="K76">
        <f>AVERAGE(tblPerformance[[#This Row],[KRA1]:[KRA5]])</f>
        <v>2</v>
      </c>
      <c r="L76">
        <f t="shared" si="2"/>
        <v>2</v>
      </c>
    </row>
    <row r="77" spans="1:12" x14ac:dyDescent="0.3">
      <c r="A77" s="2" t="s">
        <v>213</v>
      </c>
      <c r="B77" t="s">
        <v>263</v>
      </c>
      <c r="C77">
        <v>4</v>
      </c>
      <c r="D77">
        <v>3</v>
      </c>
      <c r="E77">
        <v>4</v>
      </c>
      <c r="F77">
        <v>4</v>
      </c>
      <c r="G77">
        <v>3</v>
      </c>
      <c r="H77">
        <v>4</v>
      </c>
      <c r="I77">
        <v>3</v>
      </c>
      <c r="J77" t="s">
        <v>15</v>
      </c>
      <c r="K77">
        <f>AVERAGE(tblPerformance[[#This Row],[KRA1]:[KRA5]])</f>
        <v>3.6</v>
      </c>
      <c r="L77">
        <f t="shared" si="2"/>
        <v>3.66</v>
      </c>
    </row>
    <row r="78" spans="1:12" x14ac:dyDescent="0.3">
      <c r="A78" s="2" t="s">
        <v>215</v>
      </c>
      <c r="B78" t="s">
        <v>263</v>
      </c>
      <c r="C78">
        <v>3</v>
      </c>
      <c r="D78">
        <v>4</v>
      </c>
      <c r="E78">
        <v>3</v>
      </c>
      <c r="F78">
        <v>3</v>
      </c>
      <c r="G78">
        <v>4</v>
      </c>
      <c r="H78">
        <v>3</v>
      </c>
      <c r="I78">
        <v>4</v>
      </c>
      <c r="J78" t="s">
        <v>15</v>
      </c>
      <c r="K78">
        <f>AVERAGE(tblPerformance[[#This Row],[KRA1]:[KRA5]])</f>
        <v>3.4</v>
      </c>
      <c r="L78">
        <f t="shared" si="2"/>
        <v>3.34</v>
      </c>
    </row>
    <row r="79" spans="1:12" x14ac:dyDescent="0.3">
      <c r="A79" s="2" t="s">
        <v>217</v>
      </c>
      <c r="B79" t="s">
        <v>263</v>
      </c>
      <c r="C79">
        <v>4</v>
      </c>
      <c r="D79">
        <v>4</v>
      </c>
      <c r="E79">
        <v>4</v>
      </c>
      <c r="F79">
        <v>4</v>
      </c>
      <c r="G79">
        <v>4</v>
      </c>
      <c r="H79">
        <v>4</v>
      </c>
      <c r="I79">
        <v>4</v>
      </c>
      <c r="J79" t="s">
        <v>15</v>
      </c>
      <c r="K79">
        <f>AVERAGE(tblPerformance[[#This Row],[KRA1]:[KRA5]])</f>
        <v>4</v>
      </c>
      <c r="L79">
        <f t="shared" si="2"/>
        <v>4</v>
      </c>
    </row>
    <row r="80" spans="1:12" x14ac:dyDescent="0.3">
      <c r="A80" s="2" t="s">
        <v>219</v>
      </c>
      <c r="B80" t="s">
        <v>263</v>
      </c>
      <c r="C80">
        <v>5</v>
      </c>
      <c r="D80">
        <v>4</v>
      </c>
      <c r="E80">
        <v>5</v>
      </c>
      <c r="F80">
        <v>5</v>
      </c>
      <c r="G80">
        <v>4</v>
      </c>
      <c r="H80">
        <v>5</v>
      </c>
      <c r="I80">
        <v>4</v>
      </c>
      <c r="J80" t="s">
        <v>14</v>
      </c>
      <c r="K80">
        <f>AVERAGE(tblPerformance[[#This Row],[KRA1]:[KRA5]])</f>
        <v>4.5999999999999996</v>
      </c>
      <c r="L80">
        <f t="shared" si="2"/>
        <v>4.66</v>
      </c>
    </row>
    <row r="81" spans="1:12" x14ac:dyDescent="0.3">
      <c r="A81" s="2" t="s">
        <v>221</v>
      </c>
      <c r="B81" t="s">
        <v>263</v>
      </c>
      <c r="C81">
        <v>3</v>
      </c>
      <c r="D81">
        <v>3</v>
      </c>
      <c r="E81">
        <v>3</v>
      </c>
      <c r="F81">
        <v>3</v>
      </c>
      <c r="G81">
        <v>3</v>
      </c>
      <c r="H81">
        <v>3</v>
      </c>
      <c r="I81">
        <v>3</v>
      </c>
      <c r="J81" t="s">
        <v>15</v>
      </c>
      <c r="K81">
        <f>AVERAGE(tblPerformance[[#This Row],[KRA1]:[KRA5]])</f>
        <v>3</v>
      </c>
      <c r="L81">
        <f t="shared" si="2"/>
        <v>3</v>
      </c>
    </row>
    <row r="82" spans="1:12" x14ac:dyDescent="0.3">
      <c r="A82" s="2" t="s">
        <v>223</v>
      </c>
      <c r="B82" t="s">
        <v>263</v>
      </c>
      <c r="C82">
        <v>4</v>
      </c>
      <c r="D82">
        <v>5</v>
      </c>
      <c r="E82">
        <v>4</v>
      </c>
      <c r="F82">
        <v>4</v>
      </c>
      <c r="G82">
        <v>5</v>
      </c>
      <c r="H82">
        <v>4</v>
      </c>
      <c r="I82">
        <v>4</v>
      </c>
      <c r="J82" t="s">
        <v>15</v>
      </c>
      <c r="K82">
        <f>AVERAGE(tblPerformance[[#This Row],[KRA1]:[KRA5]])</f>
        <v>4.4000000000000004</v>
      </c>
      <c r="L82">
        <f t="shared" si="2"/>
        <v>4.24</v>
      </c>
    </row>
    <row r="83" spans="1:12" x14ac:dyDescent="0.3">
      <c r="A83" s="2" t="s">
        <v>225</v>
      </c>
      <c r="B83" t="s">
        <v>263</v>
      </c>
      <c r="C83">
        <v>5</v>
      </c>
      <c r="D83">
        <v>5</v>
      </c>
      <c r="E83">
        <v>5</v>
      </c>
      <c r="F83">
        <v>5</v>
      </c>
      <c r="G83">
        <v>5</v>
      </c>
      <c r="H83">
        <v>5</v>
      </c>
      <c r="I83">
        <v>5</v>
      </c>
      <c r="J83" t="s">
        <v>14</v>
      </c>
      <c r="K83">
        <f>AVERAGE(tblPerformance[[#This Row],[KRA1]:[KRA5]])</f>
        <v>5</v>
      </c>
      <c r="L83">
        <f t="shared" si="2"/>
        <v>5</v>
      </c>
    </row>
    <row r="84" spans="1:12" x14ac:dyDescent="0.3">
      <c r="A84" s="2" t="s">
        <v>227</v>
      </c>
      <c r="B84" t="s">
        <v>263</v>
      </c>
      <c r="C84">
        <v>2</v>
      </c>
      <c r="D84">
        <v>3</v>
      </c>
      <c r="E84">
        <v>2</v>
      </c>
      <c r="F84">
        <v>3</v>
      </c>
      <c r="G84">
        <v>2</v>
      </c>
      <c r="H84">
        <v>2</v>
      </c>
      <c r="I84">
        <v>3</v>
      </c>
      <c r="J84" t="s">
        <v>15</v>
      </c>
      <c r="K84">
        <f>AVERAGE(tblPerformance[[#This Row],[KRA1]:[KRA5]])</f>
        <v>2.4</v>
      </c>
      <c r="L84">
        <f t="shared" si="2"/>
        <v>2.34</v>
      </c>
    </row>
    <row r="85" spans="1:12" x14ac:dyDescent="0.3">
      <c r="A85" s="2" t="s">
        <v>229</v>
      </c>
      <c r="B85" t="s">
        <v>263</v>
      </c>
      <c r="C85">
        <v>4</v>
      </c>
      <c r="D85">
        <v>4</v>
      </c>
      <c r="E85">
        <v>4</v>
      </c>
      <c r="F85">
        <v>4</v>
      </c>
      <c r="G85">
        <v>4</v>
      </c>
      <c r="H85">
        <v>4</v>
      </c>
      <c r="I85">
        <v>4</v>
      </c>
      <c r="J85" t="s">
        <v>15</v>
      </c>
      <c r="K85">
        <f>AVERAGE(tblPerformance[[#This Row],[KRA1]:[KRA5]])</f>
        <v>4</v>
      </c>
      <c r="L85">
        <f t="shared" si="2"/>
        <v>4</v>
      </c>
    </row>
    <row r="86" spans="1:12" x14ac:dyDescent="0.3">
      <c r="A86" s="2" t="s">
        <v>231</v>
      </c>
      <c r="B86" t="s">
        <v>263</v>
      </c>
      <c r="C86">
        <v>5</v>
      </c>
      <c r="D86">
        <v>4</v>
      </c>
      <c r="E86">
        <v>5</v>
      </c>
      <c r="F86">
        <v>4</v>
      </c>
      <c r="G86">
        <v>5</v>
      </c>
      <c r="H86">
        <v>5</v>
      </c>
      <c r="I86">
        <v>4</v>
      </c>
      <c r="J86" t="s">
        <v>14</v>
      </c>
      <c r="K86">
        <f>AVERAGE(tblPerformance[[#This Row],[KRA1]:[KRA5]])</f>
        <v>4.5999999999999996</v>
      </c>
      <c r="L86">
        <f t="shared" si="2"/>
        <v>4.66</v>
      </c>
    </row>
    <row r="87" spans="1:12" x14ac:dyDescent="0.3">
      <c r="A87" s="2" t="s">
        <v>233</v>
      </c>
      <c r="B87" t="s">
        <v>263</v>
      </c>
      <c r="C87">
        <v>3</v>
      </c>
      <c r="D87">
        <v>3</v>
      </c>
      <c r="E87">
        <v>4</v>
      </c>
      <c r="F87">
        <v>3</v>
      </c>
      <c r="G87">
        <v>3</v>
      </c>
      <c r="H87">
        <v>3</v>
      </c>
      <c r="I87">
        <v>4</v>
      </c>
      <c r="J87" t="s">
        <v>15</v>
      </c>
      <c r="K87">
        <f>AVERAGE(tblPerformance[[#This Row],[KRA1]:[KRA5]])</f>
        <v>3.2</v>
      </c>
      <c r="L87">
        <f t="shared" si="2"/>
        <v>3.22</v>
      </c>
    </row>
    <row r="88" spans="1:12" x14ac:dyDescent="0.3">
      <c r="A88" s="2" t="s">
        <v>235</v>
      </c>
      <c r="B88" t="s">
        <v>263</v>
      </c>
      <c r="C88">
        <v>4</v>
      </c>
      <c r="D88">
        <v>4</v>
      </c>
      <c r="E88">
        <v>4</v>
      </c>
      <c r="F88">
        <v>4</v>
      </c>
      <c r="G88">
        <v>4</v>
      </c>
      <c r="H88">
        <v>4</v>
      </c>
      <c r="I88">
        <v>4</v>
      </c>
      <c r="J88" t="s">
        <v>15</v>
      </c>
      <c r="K88">
        <f>AVERAGE(tblPerformance[[#This Row],[KRA1]:[KRA5]])</f>
        <v>4</v>
      </c>
      <c r="L88">
        <f t="shared" si="2"/>
        <v>4</v>
      </c>
    </row>
    <row r="89" spans="1:12" x14ac:dyDescent="0.3">
      <c r="A89" s="2" t="s">
        <v>237</v>
      </c>
      <c r="B89" t="s">
        <v>263</v>
      </c>
      <c r="C89">
        <v>5</v>
      </c>
      <c r="D89">
        <v>5</v>
      </c>
      <c r="E89">
        <v>5</v>
      </c>
      <c r="F89">
        <v>5</v>
      </c>
      <c r="G89">
        <v>5</v>
      </c>
      <c r="H89">
        <v>5</v>
      </c>
      <c r="I89">
        <v>5</v>
      </c>
      <c r="J89" t="s">
        <v>14</v>
      </c>
      <c r="K89">
        <f>AVERAGE(tblPerformance[[#This Row],[KRA1]:[KRA5]])</f>
        <v>5</v>
      </c>
      <c r="L89">
        <f t="shared" si="2"/>
        <v>5</v>
      </c>
    </row>
    <row r="90" spans="1:12" x14ac:dyDescent="0.3">
      <c r="A90" s="2" t="s">
        <v>239</v>
      </c>
      <c r="B90" t="s">
        <v>263</v>
      </c>
      <c r="C90">
        <v>2</v>
      </c>
      <c r="D90">
        <v>2</v>
      </c>
      <c r="E90">
        <v>2</v>
      </c>
      <c r="F90">
        <v>2</v>
      </c>
      <c r="G90">
        <v>2</v>
      </c>
      <c r="H90">
        <v>2</v>
      </c>
      <c r="I90">
        <v>2</v>
      </c>
      <c r="J90" t="s">
        <v>15</v>
      </c>
      <c r="K90">
        <f>AVERAGE(tblPerformance[[#This Row],[KRA1]:[KRA5]])</f>
        <v>2</v>
      </c>
      <c r="L90">
        <f t="shared" si="2"/>
        <v>2</v>
      </c>
    </row>
    <row r="91" spans="1:12" x14ac:dyDescent="0.3">
      <c r="A91" s="2" t="s">
        <v>241</v>
      </c>
      <c r="B91" t="s">
        <v>263</v>
      </c>
      <c r="C91">
        <v>4</v>
      </c>
      <c r="D91">
        <v>3</v>
      </c>
      <c r="E91">
        <v>4</v>
      </c>
      <c r="F91">
        <v>4</v>
      </c>
      <c r="G91">
        <v>3</v>
      </c>
      <c r="H91">
        <v>4</v>
      </c>
      <c r="I91">
        <v>3</v>
      </c>
      <c r="J91" t="s">
        <v>15</v>
      </c>
      <c r="K91">
        <f>AVERAGE(tblPerformance[[#This Row],[KRA1]:[KRA5]])</f>
        <v>3.6</v>
      </c>
      <c r="L91">
        <f t="shared" si="2"/>
        <v>3.66</v>
      </c>
    </row>
    <row r="92" spans="1:12" x14ac:dyDescent="0.3">
      <c r="A92" s="2" t="s">
        <v>243</v>
      </c>
      <c r="B92" t="s">
        <v>263</v>
      </c>
      <c r="C92">
        <v>3</v>
      </c>
      <c r="D92">
        <v>4</v>
      </c>
      <c r="E92">
        <v>3</v>
      </c>
      <c r="F92">
        <v>3</v>
      </c>
      <c r="G92">
        <v>4</v>
      </c>
      <c r="H92">
        <v>3</v>
      </c>
      <c r="I92">
        <v>4</v>
      </c>
      <c r="J92" t="s">
        <v>15</v>
      </c>
      <c r="K92">
        <f>AVERAGE(tblPerformance[[#This Row],[KRA1]:[KRA5]])</f>
        <v>3.4</v>
      </c>
      <c r="L92">
        <f t="shared" si="2"/>
        <v>3.34</v>
      </c>
    </row>
    <row r="93" spans="1:12" x14ac:dyDescent="0.3">
      <c r="A93" s="2" t="s">
        <v>245</v>
      </c>
      <c r="B93" t="s">
        <v>263</v>
      </c>
      <c r="C93">
        <v>4</v>
      </c>
      <c r="D93">
        <v>4</v>
      </c>
      <c r="E93">
        <v>4</v>
      </c>
      <c r="F93">
        <v>4</v>
      </c>
      <c r="G93">
        <v>4</v>
      </c>
      <c r="H93">
        <v>4</v>
      </c>
      <c r="I93">
        <v>4</v>
      </c>
      <c r="J93" t="s">
        <v>15</v>
      </c>
      <c r="K93">
        <f>AVERAGE(tblPerformance[[#This Row],[KRA1]:[KRA5]])</f>
        <v>4</v>
      </c>
      <c r="L93">
        <f t="shared" si="2"/>
        <v>4</v>
      </c>
    </row>
    <row r="94" spans="1:12" x14ac:dyDescent="0.3">
      <c r="A94" s="2" t="s">
        <v>247</v>
      </c>
      <c r="B94" t="s">
        <v>263</v>
      </c>
      <c r="C94">
        <v>5</v>
      </c>
      <c r="D94">
        <v>4</v>
      </c>
      <c r="E94">
        <v>5</v>
      </c>
      <c r="F94">
        <v>5</v>
      </c>
      <c r="G94">
        <v>4</v>
      </c>
      <c r="H94">
        <v>5</v>
      </c>
      <c r="I94">
        <v>4</v>
      </c>
      <c r="J94" t="s">
        <v>14</v>
      </c>
      <c r="K94">
        <f>AVERAGE(tblPerformance[[#This Row],[KRA1]:[KRA5]])</f>
        <v>4.5999999999999996</v>
      </c>
      <c r="L94">
        <f t="shared" si="2"/>
        <v>4.66</v>
      </c>
    </row>
    <row r="95" spans="1:12" x14ac:dyDescent="0.3">
      <c r="A95" s="2" t="s">
        <v>249</v>
      </c>
      <c r="B95" t="s">
        <v>263</v>
      </c>
      <c r="C95">
        <v>3</v>
      </c>
      <c r="D95">
        <v>3</v>
      </c>
      <c r="E95">
        <v>3</v>
      </c>
      <c r="F95">
        <v>3</v>
      </c>
      <c r="G95">
        <v>3</v>
      </c>
      <c r="H95">
        <v>3</v>
      </c>
      <c r="I95">
        <v>3</v>
      </c>
      <c r="J95" t="s">
        <v>15</v>
      </c>
      <c r="K95">
        <f>AVERAGE(tblPerformance[[#This Row],[KRA1]:[KRA5]])</f>
        <v>3</v>
      </c>
      <c r="L95">
        <f t="shared" si="2"/>
        <v>3</v>
      </c>
    </row>
    <row r="96" spans="1:12" x14ac:dyDescent="0.3">
      <c r="A96" s="2" t="s">
        <v>251</v>
      </c>
      <c r="B96" t="s">
        <v>263</v>
      </c>
      <c r="C96">
        <v>4</v>
      </c>
      <c r="D96">
        <v>5</v>
      </c>
      <c r="E96">
        <v>4</v>
      </c>
      <c r="F96">
        <v>4</v>
      </c>
      <c r="G96">
        <v>5</v>
      </c>
      <c r="H96">
        <v>4</v>
      </c>
      <c r="I96">
        <v>4</v>
      </c>
      <c r="J96" t="s">
        <v>15</v>
      </c>
      <c r="K96">
        <f>AVERAGE(tblPerformance[[#This Row],[KRA1]:[KRA5]])</f>
        <v>4.4000000000000004</v>
      </c>
      <c r="L96">
        <f t="shared" si="2"/>
        <v>4.24</v>
      </c>
    </row>
    <row r="97" spans="1:12" x14ac:dyDescent="0.3">
      <c r="A97" s="2" t="s">
        <v>253</v>
      </c>
      <c r="B97" t="s">
        <v>263</v>
      </c>
      <c r="C97">
        <v>5</v>
      </c>
      <c r="D97">
        <v>5</v>
      </c>
      <c r="E97">
        <v>5</v>
      </c>
      <c r="F97">
        <v>5</v>
      </c>
      <c r="G97">
        <v>5</v>
      </c>
      <c r="H97">
        <v>5</v>
      </c>
      <c r="I97">
        <v>5</v>
      </c>
      <c r="J97" t="s">
        <v>14</v>
      </c>
      <c r="K97">
        <f>AVERAGE(tblPerformance[[#This Row],[KRA1]:[KRA5]])</f>
        <v>5</v>
      </c>
      <c r="L97">
        <f t="shared" si="2"/>
        <v>5</v>
      </c>
    </row>
    <row r="98" spans="1:12" x14ac:dyDescent="0.3">
      <c r="A98" s="2" t="s">
        <v>255</v>
      </c>
      <c r="B98" t="s">
        <v>263</v>
      </c>
      <c r="C98">
        <v>2</v>
      </c>
      <c r="D98">
        <v>3</v>
      </c>
      <c r="E98">
        <v>2</v>
      </c>
      <c r="F98">
        <v>3</v>
      </c>
      <c r="G98">
        <v>2</v>
      </c>
      <c r="H98">
        <v>2</v>
      </c>
      <c r="I98">
        <v>3</v>
      </c>
      <c r="J98" t="s">
        <v>15</v>
      </c>
      <c r="K98">
        <f>AVERAGE(tblPerformance[[#This Row],[KRA1]:[KRA5]])</f>
        <v>2.4</v>
      </c>
      <c r="L98">
        <f t="shared" ref="L98:L101" si="3">ROUND((K98*0.6)+(H98*0.3)+(I98*0.1),2)</f>
        <v>2.34</v>
      </c>
    </row>
    <row r="99" spans="1:12" x14ac:dyDescent="0.3">
      <c r="A99" s="2" t="s">
        <v>257</v>
      </c>
      <c r="B99" t="s">
        <v>263</v>
      </c>
      <c r="C99">
        <v>4</v>
      </c>
      <c r="D99">
        <v>4</v>
      </c>
      <c r="E99">
        <v>4</v>
      </c>
      <c r="F99">
        <v>4</v>
      </c>
      <c r="G99">
        <v>4</v>
      </c>
      <c r="H99">
        <v>4</v>
      </c>
      <c r="I99">
        <v>4</v>
      </c>
      <c r="J99" t="s">
        <v>15</v>
      </c>
      <c r="K99">
        <f>AVERAGE(tblPerformance[[#This Row],[KRA1]:[KRA5]])</f>
        <v>4</v>
      </c>
      <c r="L99">
        <f t="shared" si="3"/>
        <v>4</v>
      </c>
    </row>
    <row r="100" spans="1:12" x14ac:dyDescent="0.3">
      <c r="A100" s="2" t="s">
        <v>259</v>
      </c>
      <c r="B100" t="s">
        <v>263</v>
      </c>
      <c r="C100">
        <v>5</v>
      </c>
      <c r="D100">
        <v>4</v>
      </c>
      <c r="E100">
        <v>5</v>
      </c>
      <c r="F100">
        <v>4</v>
      </c>
      <c r="G100">
        <v>5</v>
      </c>
      <c r="H100">
        <v>5</v>
      </c>
      <c r="I100">
        <v>4</v>
      </c>
      <c r="J100" t="s">
        <v>14</v>
      </c>
      <c r="K100">
        <f>AVERAGE(tblPerformance[[#This Row],[KRA1]:[KRA5]])</f>
        <v>4.5999999999999996</v>
      </c>
      <c r="L100">
        <f t="shared" si="3"/>
        <v>4.66</v>
      </c>
    </row>
    <row r="101" spans="1:12" x14ac:dyDescent="0.3">
      <c r="A101" s="2" t="s">
        <v>261</v>
      </c>
      <c r="B101" t="s">
        <v>263</v>
      </c>
      <c r="C101">
        <v>3</v>
      </c>
      <c r="D101">
        <v>3</v>
      </c>
      <c r="E101">
        <v>4</v>
      </c>
      <c r="F101">
        <v>3</v>
      </c>
      <c r="G101">
        <v>3</v>
      </c>
      <c r="H101">
        <v>3</v>
      </c>
      <c r="I101">
        <v>4</v>
      </c>
      <c r="J101" t="s">
        <v>15</v>
      </c>
      <c r="K101">
        <f>AVERAGE(tblPerformance[[#This Row],[KRA1]:[KRA5]])</f>
        <v>3.2</v>
      </c>
      <c r="L101">
        <f t="shared" si="3"/>
        <v>3.22</v>
      </c>
    </row>
  </sheetData>
  <dataValidations disablePrompts="1" count="1">
    <dataValidation type="whole" allowBlank="1" showInputMessage="1" showErrorMessage="1" error="Please enter a score between 0 and 5." sqref="C2:I998" xr:uid="{3D539B41-63D0-4658-BD63-C286F76772AD}">
      <formula1>0</formula1>
      <formula2>5</formula2>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3CEC97CA-2C2A-49A5-A28C-F1278F76330C}">
          <x14:formula1>
            <xm:f>Lists!$C$2:$C$3</xm:f>
          </x14:formula1>
          <xm:sqref>J2:J998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50011-54D7-4DBC-8A76-0659EB9278B6}">
  <sheetPr codeName="Sheet5"/>
  <dimension ref="A1:C9"/>
  <sheetViews>
    <sheetView workbookViewId="0">
      <selection activeCell="B7" sqref="A2:C8"/>
    </sheetView>
  </sheetViews>
  <sheetFormatPr defaultRowHeight="14.4" x14ac:dyDescent="0.3"/>
  <cols>
    <col min="1" max="1" width="18.109375" bestFit="1" customWidth="1"/>
    <col min="2" max="2" width="14.5546875" bestFit="1" customWidth="1"/>
    <col min="3" max="3" width="14.44140625" bestFit="1" customWidth="1"/>
  </cols>
  <sheetData>
    <row r="1" spans="1:3" x14ac:dyDescent="0.3">
      <c r="A1" t="s">
        <v>31</v>
      </c>
      <c r="B1" t="s">
        <v>43</v>
      </c>
      <c r="C1" t="s">
        <v>44</v>
      </c>
    </row>
    <row r="2" spans="1:3" x14ac:dyDescent="0.3">
      <c r="A2" s="4">
        <v>46023</v>
      </c>
      <c r="B2" t="s">
        <v>264</v>
      </c>
      <c r="C2" t="s">
        <v>271</v>
      </c>
    </row>
    <row r="3" spans="1:3" x14ac:dyDescent="0.3">
      <c r="A3" s="4">
        <v>46048</v>
      </c>
      <c r="B3" t="s">
        <v>265</v>
      </c>
      <c r="C3" t="s">
        <v>271</v>
      </c>
    </row>
    <row r="4" spans="1:3" x14ac:dyDescent="0.3">
      <c r="A4" s="4">
        <v>46110</v>
      </c>
      <c r="B4" t="s">
        <v>266</v>
      </c>
      <c r="C4" t="s">
        <v>271</v>
      </c>
    </row>
    <row r="5" spans="1:3" x14ac:dyDescent="0.3">
      <c r="A5" s="4">
        <v>46249</v>
      </c>
      <c r="B5" t="s">
        <v>267</v>
      </c>
      <c r="C5" t="s">
        <v>271</v>
      </c>
    </row>
    <row r="6" spans="1:3" x14ac:dyDescent="0.3">
      <c r="A6" s="4">
        <v>46297</v>
      </c>
      <c r="B6" t="s">
        <v>268</v>
      </c>
      <c r="C6" t="s">
        <v>271</v>
      </c>
    </row>
    <row r="7" spans="1:3" x14ac:dyDescent="0.3">
      <c r="A7" s="4">
        <v>46315</v>
      </c>
      <c r="B7" t="s">
        <v>269</v>
      </c>
      <c r="C7" t="s">
        <v>271</v>
      </c>
    </row>
    <row r="8" spans="1:3" x14ac:dyDescent="0.3">
      <c r="A8" s="4">
        <v>46381</v>
      </c>
      <c r="B8" t="s">
        <v>270</v>
      </c>
      <c r="C8" t="s">
        <v>271</v>
      </c>
    </row>
    <row r="9" spans="1:3" x14ac:dyDescent="0.3">
      <c r="A9" s="5"/>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8CF81-B490-431B-B8F5-66ABD1803229}">
  <sheetPr codeName="Sheet6"/>
  <dimension ref="A1:D4"/>
  <sheetViews>
    <sheetView workbookViewId="0">
      <selection activeCell="A2" sqref="A2:D4"/>
    </sheetView>
  </sheetViews>
  <sheetFormatPr defaultRowHeight="14.4" x14ac:dyDescent="0.3"/>
  <cols>
    <col min="1" max="1" width="13.77734375" bestFit="1" customWidth="1"/>
    <col min="2" max="2" width="11.109375" bestFit="1" customWidth="1"/>
    <col min="3" max="3" width="10.33203125" bestFit="1" customWidth="1"/>
  </cols>
  <sheetData>
    <row r="1" spans="1:4" x14ac:dyDescent="0.3">
      <c r="A1" s="2" t="s">
        <v>272</v>
      </c>
      <c r="B1" t="s">
        <v>273</v>
      </c>
      <c r="C1" t="s">
        <v>274</v>
      </c>
      <c r="D1" t="s">
        <v>275</v>
      </c>
    </row>
    <row r="2" spans="1:4" x14ac:dyDescent="0.3">
      <c r="A2" s="2" t="s">
        <v>276</v>
      </c>
      <c r="B2" t="s">
        <v>277</v>
      </c>
      <c r="C2" s="3">
        <v>0.375</v>
      </c>
      <c r="D2" s="3">
        <v>0.75</v>
      </c>
    </row>
    <row r="3" spans="1:4" x14ac:dyDescent="0.3">
      <c r="A3" s="2" t="s">
        <v>278</v>
      </c>
      <c r="B3" t="s">
        <v>279</v>
      </c>
      <c r="C3" s="3">
        <v>0.58333333333333337</v>
      </c>
      <c r="D3" s="3">
        <v>0.95833333333333337</v>
      </c>
    </row>
    <row r="4" spans="1:4" x14ac:dyDescent="0.3">
      <c r="A4" s="2" t="s">
        <v>280</v>
      </c>
      <c r="B4" t="s">
        <v>281</v>
      </c>
      <c r="C4" s="3">
        <v>0.91666666666666663</v>
      </c>
      <c r="D4" s="3">
        <v>0.29166666666666669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D20F80-C8F9-41B0-A42C-6D8117A2543E}">
  <sheetPr codeName="Sheet1"/>
  <dimension ref="A1:R101"/>
  <sheetViews>
    <sheetView workbookViewId="0">
      <selection activeCell="E2" sqref="E2"/>
    </sheetView>
  </sheetViews>
  <sheetFormatPr defaultRowHeight="14.4" x14ac:dyDescent="0.3"/>
  <cols>
    <col min="1" max="1" width="12.5546875" bestFit="1" customWidth="1"/>
    <col min="2" max="2" width="19.5546875" bestFit="1" customWidth="1"/>
    <col min="3" max="3" width="13.33203125" bestFit="1" customWidth="1"/>
    <col min="4" max="4" width="27.88671875" bestFit="1" customWidth="1"/>
    <col min="5" max="5" width="10.44140625" bestFit="1" customWidth="1"/>
    <col min="6" max="6" width="15.44140625" style="13" bestFit="1" customWidth="1"/>
    <col min="7" max="7" width="10.33203125" bestFit="1" customWidth="1"/>
    <col min="8" max="8" width="18.77734375" bestFit="1" customWidth="1"/>
    <col min="9" max="9" width="15.77734375" bestFit="1" customWidth="1"/>
    <col min="10" max="10" width="16.44140625" bestFit="1" customWidth="1"/>
    <col min="11" max="11" width="17.5546875" bestFit="1" customWidth="1"/>
    <col min="12" max="12" width="19.44140625" bestFit="1" customWidth="1"/>
    <col min="13" max="13" width="13.5546875" bestFit="1" customWidth="1"/>
    <col min="14" max="14" width="16.33203125" style="14" bestFit="1" customWidth="1"/>
    <col min="15" max="15" width="8.33203125" bestFit="1" customWidth="1"/>
    <col min="16" max="16" width="16.44140625" bestFit="1" customWidth="1"/>
    <col min="17" max="17" width="16.6640625" bestFit="1" customWidth="1"/>
    <col min="18" max="18" width="18.5546875" bestFit="1" customWidth="1"/>
  </cols>
  <sheetData>
    <row r="1" spans="1:18" x14ac:dyDescent="0.3">
      <c r="A1" t="s">
        <v>282</v>
      </c>
      <c r="B1" t="s">
        <v>283</v>
      </c>
      <c r="C1" t="s">
        <v>25</v>
      </c>
      <c r="D1" t="s">
        <v>284</v>
      </c>
      <c r="E1" t="s">
        <v>285</v>
      </c>
      <c r="F1" s="13" t="s">
        <v>31</v>
      </c>
      <c r="G1" t="s">
        <v>286</v>
      </c>
      <c r="H1" t="s">
        <v>287</v>
      </c>
      <c r="I1" t="s">
        <v>288</v>
      </c>
      <c r="J1" t="s">
        <v>289</v>
      </c>
      <c r="K1" t="s">
        <v>290</v>
      </c>
      <c r="L1" t="s">
        <v>291</v>
      </c>
      <c r="M1" t="s">
        <v>292</v>
      </c>
      <c r="N1" s="14" t="s">
        <v>293</v>
      </c>
      <c r="O1" t="s">
        <v>294</v>
      </c>
      <c r="P1" t="s">
        <v>295</v>
      </c>
      <c r="Q1" t="s">
        <v>296</v>
      </c>
      <c r="R1" t="s">
        <v>297</v>
      </c>
    </row>
    <row r="2" spans="1:18" x14ac:dyDescent="0.3">
      <c r="A2" t="s">
        <v>45</v>
      </c>
      <c r="B2" t="s">
        <v>298</v>
      </c>
      <c r="C2" t="s">
        <v>299</v>
      </c>
      <c r="D2" t="s">
        <v>300</v>
      </c>
      <c r="E2" t="s">
        <v>301</v>
      </c>
      <c r="F2" s="13">
        <v>46007</v>
      </c>
      <c r="G2" s="13">
        <v>45992</v>
      </c>
      <c r="H2" t="s">
        <v>302</v>
      </c>
      <c r="I2">
        <v>8.6</v>
      </c>
      <c r="J2">
        <v>0.7</v>
      </c>
      <c r="K2">
        <v>19</v>
      </c>
      <c r="L2">
        <v>10</v>
      </c>
      <c r="M2">
        <v>20</v>
      </c>
      <c r="N2" s="14">
        <v>0.95</v>
      </c>
      <c r="O2">
        <v>38253</v>
      </c>
      <c r="P2" t="s">
        <v>303</v>
      </c>
      <c r="Q2">
        <v>5</v>
      </c>
    </row>
    <row r="3" spans="1:18" x14ac:dyDescent="0.3">
      <c r="A3" t="s">
        <v>45</v>
      </c>
      <c r="B3" t="s">
        <v>298</v>
      </c>
      <c r="C3" t="s">
        <v>299</v>
      </c>
      <c r="D3" t="s">
        <v>300</v>
      </c>
      <c r="E3" t="s">
        <v>301</v>
      </c>
      <c r="F3" s="13">
        <v>46050</v>
      </c>
      <c r="G3" s="13">
        <v>46023</v>
      </c>
      <c r="H3" t="s">
        <v>302</v>
      </c>
      <c r="I3">
        <v>8.1999999999999993</v>
      </c>
      <c r="J3">
        <v>2.4</v>
      </c>
      <c r="K3">
        <v>20</v>
      </c>
      <c r="L3">
        <v>8</v>
      </c>
      <c r="M3">
        <v>20</v>
      </c>
      <c r="N3" s="14">
        <v>1</v>
      </c>
      <c r="O3">
        <v>38253</v>
      </c>
      <c r="P3" t="s">
        <v>303</v>
      </c>
      <c r="Q3">
        <v>4</v>
      </c>
      <c r="R3" t="s">
        <v>304</v>
      </c>
    </row>
    <row r="4" spans="1:18" x14ac:dyDescent="0.3">
      <c r="A4" t="s">
        <v>45</v>
      </c>
      <c r="B4" t="s">
        <v>298</v>
      </c>
      <c r="C4" t="s">
        <v>299</v>
      </c>
      <c r="D4" t="s">
        <v>300</v>
      </c>
      <c r="E4" t="s">
        <v>301</v>
      </c>
      <c r="F4" s="13">
        <v>46059</v>
      </c>
      <c r="G4" s="13">
        <v>46054</v>
      </c>
      <c r="H4" t="s">
        <v>305</v>
      </c>
      <c r="I4">
        <v>8</v>
      </c>
      <c r="J4">
        <v>0.3</v>
      </c>
      <c r="K4">
        <v>18</v>
      </c>
      <c r="L4">
        <v>6</v>
      </c>
      <c r="M4">
        <v>20</v>
      </c>
      <c r="N4" s="14">
        <v>0.9</v>
      </c>
      <c r="O4">
        <v>38253</v>
      </c>
      <c r="P4" t="s">
        <v>306</v>
      </c>
      <c r="Q4">
        <v>2</v>
      </c>
      <c r="R4" t="s">
        <v>307</v>
      </c>
    </row>
    <row r="5" spans="1:18" x14ac:dyDescent="0.3">
      <c r="A5" t="s">
        <v>45</v>
      </c>
      <c r="B5" t="s">
        <v>298</v>
      </c>
      <c r="C5" t="s">
        <v>299</v>
      </c>
      <c r="D5" t="s">
        <v>300</v>
      </c>
      <c r="E5" t="s">
        <v>301</v>
      </c>
      <c r="F5" s="13">
        <v>46101</v>
      </c>
      <c r="G5" s="13">
        <v>46082</v>
      </c>
      <c r="H5" t="s">
        <v>302</v>
      </c>
      <c r="I5">
        <v>8</v>
      </c>
      <c r="J5">
        <v>0</v>
      </c>
      <c r="K5">
        <v>18</v>
      </c>
      <c r="L5">
        <v>7</v>
      </c>
      <c r="M5">
        <v>20</v>
      </c>
      <c r="N5" s="14">
        <v>0.9</v>
      </c>
      <c r="O5">
        <v>38253</v>
      </c>
      <c r="P5" t="s">
        <v>306</v>
      </c>
      <c r="Q5">
        <v>3</v>
      </c>
      <c r="R5" t="s">
        <v>307</v>
      </c>
    </row>
    <row r="6" spans="1:18" x14ac:dyDescent="0.3">
      <c r="A6" t="s">
        <v>51</v>
      </c>
      <c r="B6" t="s">
        <v>308</v>
      </c>
      <c r="C6" t="s">
        <v>299</v>
      </c>
      <c r="D6" t="s">
        <v>309</v>
      </c>
      <c r="E6" t="s">
        <v>301</v>
      </c>
      <c r="F6" s="13">
        <v>46011</v>
      </c>
      <c r="G6" s="13">
        <v>45992</v>
      </c>
      <c r="H6" t="s">
        <v>310</v>
      </c>
      <c r="I6">
        <v>0</v>
      </c>
      <c r="J6">
        <v>0</v>
      </c>
      <c r="K6">
        <v>0</v>
      </c>
      <c r="L6">
        <v>4</v>
      </c>
      <c r="M6">
        <v>15</v>
      </c>
      <c r="N6" s="14">
        <v>0</v>
      </c>
      <c r="O6">
        <v>78543</v>
      </c>
      <c r="P6" t="s">
        <v>306</v>
      </c>
      <c r="Q6">
        <v>2</v>
      </c>
      <c r="R6" t="s">
        <v>311</v>
      </c>
    </row>
    <row r="7" spans="1:18" x14ac:dyDescent="0.3">
      <c r="A7" t="s">
        <v>51</v>
      </c>
      <c r="B7" t="s">
        <v>308</v>
      </c>
      <c r="C7" t="s">
        <v>299</v>
      </c>
      <c r="D7" t="s">
        <v>309</v>
      </c>
      <c r="E7" t="s">
        <v>301</v>
      </c>
      <c r="F7" s="13">
        <v>46031</v>
      </c>
      <c r="G7" s="13">
        <v>46023</v>
      </c>
      <c r="H7" t="s">
        <v>310</v>
      </c>
      <c r="I7">
        <v>0</v>
      </c>
      <c r="J7">
        <v>0</v>
      </c>
      <c r="K7">
        <v>0</v>
      </c>
      <c r="L7">
        <v>2</v>
      </c>
      <c r="M7">
        <v>15</v>
      </c>
      <c r="N7" s="14">
        <v>0</v>
      </c>
      <c r="O7">
        <v>78543</v>
      </c>
      <c r="P7" t="s">
        <v>306</v>
      </c>
      <c r="Q7">
        <v>1</v>
      </c>
    </row>
    <row r="8" spans="1:18" x14ac:dyDescent="0.3">
      <c r="A8" t="s">
        <v>51</v>
      </c>
      <c r="B8" t="s">
        <v>308</v>
      </c>
      <c r="C8" t="s">
        <v>299</v>
      </c>
      <c r="D8" t="s">
        <v>309</v>
      </c>
      <c r="E8" t="s">
        <v>301</v>
      </c>
      <c r="F8" s="13">
        <v>46075</v>
      </c>
      <c r="G8" s="13">
        <v>46054</v>
      </c>
      <c r="H8" t="s">
        <v>305</v>
      </c>
      <c r="I8">
        <v>8</v>
      </c>
      <c r="J8">
        <v>0.9</v>
      </c>
      <c r="K8">
        <v>10</v>
      </c>
      <c r="L8">
        <v>7</v>
      </c>
      <c r="M8">
        <v>15</v>
      </c>
      <c r="N8" s="14">
        <v>0.66669999999999996</v>
      </c>
      <c r="O8">
        <v>78543</v>
      </c>
      <c r="P8" t="s">
        <v>306</v>
      </c>
      <c r="Q8">
        <v>3</v>
      </c>
      <c r="R8" t="s">
        <v>304</v>
      </c>
    </row>
    <row r="9" spans="1:18" x14ac:dyDescent="0.3">
      <c r="A9" t="s">
        <v>51</v>
      </c>
      <c r="B9" t="s">
        <v>308</v>
      </c>
      <c r="C9" t="s">
        <v>299</v>
      </c>
      <c r="D9" t="s">
        <v>309</v>
      </c>
      <c r="E9" t="s">
        <v>301</v>
      </c>
      <c r="F9" s="13">
        <v>46110</v>
      </c>
      <c r="G9" s="13">
        <v>46082</v>
      </c>
      <c r="H9" t="s">
        <v>302</v>
      </c>
      <c r="I9">
        <v>8.1</v>
      </c>
      <c r="J9">
        <v>0.2</v>
      </c>
      <c r="K9">
        <v>18</v>
      </c>
      <c r="L9">
        <v>10</v>
      </c>
      <c r="M9">
        <v>15</v>
      </c>
      <c r="N9" s="14">
        <v>1.2</v>
      </c>
      <c r="O9">
        <v>78543</v>
      </c>
      <c r="P9" t="s">
        <v>303</v>
      </c>
      <c r="Q9">
        <v>4</v>
      </c>
      <c r="R9" t="s">
        <v>312</v>
      </c>
    </row>
    <row r="10" spans="1:18" x14ac:dyDescent="0.3">
      <c r="A10" t="s">
        <v>57</v>
      </c>
      <c r="B10" t="s">
        <v>313</v>
      </c>
      <c r="C10" t="s">
        <v>299</v>
      </c>
      <c r="D10" t="s">
        <v>314</v>
      </c>
      <c r="E10" t="s">
        <v>301</v>
      </c>
      <c r="F10" s="13">
        <v>46016</v>
      </c>
      <c r="G10" s="13">
        <v>45992</v>
      </c>
      <c r="H10" t="s">
        <v>302</v>
      </c>
      <c r="I10">
        <v>8.8000000000000007</v>
      </c>
      <c r="J10">
        <v>0</v>
      </c>
      <c r="K10">
        <v>22</v>
      </c>
      <c r="L10">
        <v>6</v>
      </c>
      <c r="M10">
        <v>25</v>
      </c>
      <c r="N10" s="14">
        <v>0.88</v>
      </c>
      <c r="O10">
        <v>44837</v>
      </c>
      <c r="P10" t="s">
        <v>306</v>
      </c>
      <c r="Q10">
        <v>2</v>
      </c>
    </row>
    <row r="11" spans="1:18" x14ac:dyDescent="0.3">
      <c r="A11" t="s">
        <v>57</v>
      </c>
      <c r="B11" t="s">
        <v>313</v>
      </c>
      <c r="C11" t="s">
        <v>299</v>
      </c>
      <c r="D11" t="s">
        <v>314</v>
      </c>
      <c r="E11" t="s">
        <v>301</v>
      </c>
      <c r="F11" s="13">
        <v>46032</v>
      </c>
      <c r="G11" s="13">
        <v>46023</v>
      </c>
      <c r="H11" t="s">
        <v>302</v>
      </c>
      <c r="I11">
        <v>8.4</v>
      </c>
      <c r="J11">
        <v>1.5</v>
      </c>
      <c r="K11">
        <v>22</v>
      </c>
      <c r="L11">
        <v>8</v>
      </c>
      <c r="M11">
        <v>25</v>
      </c>
      <c r="N11" s="14">
        <v>0.88</v>
      </c>
      <c r="O11">
        <v>44837</v>
      </c>
      <c r="P11" t="s">
        <v>306</v>
      </c>
      <c r="Q11">
        <v>4</v>
      </c>
      <c r="R11" t="s">
        <v>315</v>
      </c>
    </row>
    <row r="12" spans="1:18" x14ac:dyDescent="0.3">
      <c r="A12" t="s">
        <v>57</v>
      </c>
      <c r="B12" t="s">
        <v>313</v>
      </c>
      <c r="C12" t="s">
        <v>299</v>
      </c>
      <c r="D12" t="s">
        <v>314</v>
      </c>
      <c r="E12" t="s">
        <v>301</v>
      </c>
      <c r="F12" s="13">
        <v>46054</v>
      </c>
      <c r="G12" s="13">
        <v>46054</v>
      </c>
      <c r="H12" t="s">
        <v>310</v>
      </c>
      <c r="I12">
        <v>0</v>
      </c>
      <c r="J12">
        <v>0</v>
      </c>
      <c r="K12">
        <v>0</v>
      </c>
      <c r="L12">
        <v>1</v>
      </c>
      <c r="M12">
        <v>25</v>
      </c>
      <c r="N12" s="14">
        <v>0</v>
      </c>
      <c r="O12">
        <v>44837</v>
      </c>
      <c r="P12" t="s">
        <v>306</v>
      </c>
      <c r="Q12">
        <v>1</v>
      </c>
    </row>
    <row r="13" spans="1:18" x14ac:dyDescent="0.3">
      <c r="A13" t="s">
        <v>57</v>
      </c>
      <c r="B13" t="s">
        <v>313</v>
      </c>
      <c r="C13" t="s">
        <v>299</v>
      </c>
      <c r="D13" t="s">
        <v>314</v>
      </c>
      <c r="E13" t="s">
        <v>301</v>
      </c>
      <c r="F13" s="13">
        <v>46090</v>
      </c>
      <c r="G13" s="13">
        <v>46082</v>
      </c>
      <c r="H13" t="s">
        <v>310</v>
      </c>
      <c r="I13">
        <v>0</v>
      </c>
      <c r="J13">
        <v>0</v>
      </c>
      <c r="K13">
        <v>0</v>
      </c>
      <c r="L13">
        <v>1</v>
      </c>
      <c r="M13">
        <v>25</v>
      </c>
      <c r="N13" s="14">
        <v>0</v>
      </c>
      <c r="O13">
        <v>44837</v>
      </c>
      <c r="P13" t="s">
        <v>306</v>
      </c>
      <c r="Q13">
        <v>1</v>
      </c>
    </row>
    <row r="14" spans="1:18" x14ac:dyDescent="0.3">
      <c r="A14" t="s">
        <v>61</v>
      </c>
      <c r="B14" t="s">
        <v>316</v>
      </c>
      <c r="C14" t="s">
        <v>299</v>
      </c>
      <c r="D14" t="s">
        <v>300</v>
      </c>
      <c r="E14" t="s">
        <v>301</v>
      </c>
      <c r="F14" s="13">
        <v>46008</v>
      </c>
      <c r="G14" s="13">
        <v>45992</v>
      </c>
      <c r="H14" t="s">
        <v>317</v>
      </c>
      <c r="I14">
        <v>0</v>
      </c>
      <c r="J14">
        <v>0</v>
      </c>
      <c r="K14">
        <v>0</v>
      </c>
      <c r="L14">
        <v>2</v>
      </c>
      <c r="M14">
        <v>20</v>
      </c>
      <c r="N14" s="14">
        <v>0</v>
      </c>
      <c r="O14">
        <v>37791</v>
      </c>
      <c r="P14" t="s">
        <v>306</v>
      </c>
      <c r="Q14">
        <v>1</v>
      </c>
      <c r="R14" t="s">
        <v>304</v>
      </c>
    </row>
    <row r="15" spans="1:18" x14ac:dyDescent="0.3">
      <c r="A15" t="s">
        <v>61</v>
      </c>
      <c r="B15" t="s">
        <v>316</v>
      </c>
      <c r="C15" t="s">
        <v>299</v>
      </c>
      <c r="D15" t="s">
        <v>300</v>
      </c>
      <c r="E15" t="s">
        <v>301</v>
      </c>
      <c r="F15" s="13">
        <v>46032</v>
      </c>
      <c r="G15" s="13">
        <v>46023</v>
      </c>
      <c r="H15" t="s">
        <v>305</v>
      </c>
      <c r="I15">
        <v>8.5</v>
      </c>
      <c r="J15">
        <v>0.4</v>
      </c>
      <c r="K15">
        <v>15</v>
      </c>
      <c r="L15">
        <v>8</v>
      </c>
      <c r="M15">
        <v>20</v>
      </c>
      <c r="N15" s="14">
        <v>0.75</v>
      </c>
      <c r="O15">
        <v>37791</v>
      </c>
      <c r="P15" t="s">
        <v>306</v>
      </c>
      <c r="Q15">
        <v>5</v>
      </c>
      <c r="R15" t="s">
        <v>311</v>
      </c>
    </row>
    <row r="16" spans="1:18" x14ac:dyDescent="0.3">
      <c r="A16" t="s">
        <v>61</v>
      </c>
      <c r="B16" t="s">
        <v>316</v>
      </c>
      <c r="C16" t="s">
        <v>299</v>
      </c>
      <c r="D16" t="s">
        <v>300</v>
      </c>
      <c r="E16" t="s">
        <v>301</v>
      </c>
      <c r="F16" s="13">
        <v>46073</v>
      </c>
      <c r="G16" s="13">
        <v>46054</v>
      </c>
      <c r="H16" t="s">
        <v>302</v>
      </c>
      <c r="I16">
        <v>8.9</v>
      </c>
      <c r="J16">
        <v>0</v>
      </c>
      <c r="K16">
        <v>16</v>
      </c>
      <c r="L16">
        <v>8</v>
      </c>
      <c r="M16">
        <v>20</v>
      </c>
      <c r="N16" s="14">
        <v>0.8</v>
      </c>
      <c r="O16">
        <v>37791</v>
      </c>
      <c r="P16" t="s">
        <v>306</v>
      </c>
      <c r="Q16">
        <v>5</v>
      </c>
      <c r="R16" t="s">
        <v>318</v>
      </c>
    </row>
    <row r="17" spans="1:18" x14ac:dyDescent="0.3">
      <c r="A17" t="s">
        <v>61</v>
      </c>
      <c r="B17" t="s">
        <v>316</v>
      </c>
      <c r="C17" t="s">
        <v>299</v>
      </c>
      <c r="D17" t="s">
        <v>300</v>
      </c>
      <c r="E17" t="s">
        <v>301</v>
      </c>
      <c r="F17" s="13">
        <v>46106</v>
      </c>
      <c r="G17" s="13">
        <v>46082</v>
      </c>
      <c r="H17" t="s">
        <v>302</v>
      </c>
      <c r="I17">
        <v>8</v>
      </c>
      <c r="J17">
        <v>0.6</v>
      </c>
      <c r="K17">
        <v>13</v>
      </c>
      <c r="L17">
        <v>5</v>
      </c>
      <c r="M17">
        <v>20</v>
      </c>
      <c r="N17" s="14">
        <v>0.65</v>
      </c>
      <c r="O17">
        <v>37791</v>
      </c>
      <c r="P17" t="s">
        <v>306</v>
      </c>
      <c r="Q17">
        <v>3</v>
      </c>
      <c r="R17" t="s">
        <v>311</v>
      </c>
    </row>
    <row r="18" spans="1:18" x14ac:dyDescent="0.3">
      <c r="A18" t="s">
        <v>66</v>
      </c>
      <c r="B18" t="s">
        <v>319</v>
      </c>
      <c r="C18" t="s">
        <v>299</v>
      </c>
      <c r="D18" t="s">
        <v>309</v>
      </c>
      <c r="E18" t="s">
        <v>301</v>
      </c>
      <c r="F18" s="13">
        <v>46021</v>
      </c>
      <c r="G18" s="13">
        <v>45992</v>
      </c>
      <c r="H18" t="s">
        <v>302</v>
      </c>
      <c r="I18">
        <v>9.1</v>
      </c>
      <c r="J18">
        <v>0.7</v>
      </c>
      <c r="K18">
        <v>15</v>
      </c>
      <c r="L18">
        <v>9</v>
      </c>
      <c r="M18">
        <v>15</v>
      </c>
      <c r="N18" s="14">
        <v>1</v>
      </c>
      <c r="O18">
        <v>77597</v>
      </c>
      <c r="P18" t="s">
        <v>303</v>
      </c>
      <c r="Q18">
        <v>4</v>
      </c>
      <c r="R18" t="s">
        <v>318</v>
      </c>
    </row>
    <row r="19" spans="1:18" x14ac:dyDescent="0.3">
      <c r="A19" t="s">
        <v>66</v>
      </c>
      <c r="B19" t="s">
        <v>319</v>
      </c>
      <c r="C19" t="s">
        <v>299</v>
      </c>
      <c r="D19" t="s">
        <v>309</v>
      </c>
      <c r="E19" t="s">
        <v>301</v>
      </c>
      <c r="F19" s="13">
        <v>46038</v>
      </c>
      <c r="G19" s="13">
        <v>46023</v>
      </c>
      <c r="H19" t="s">
        <v>302</v>
      </c>
      <c r="I19">
        <v>8.5</v>
      </c>
      <c r="J19">
        <v>2.2999999999999998</v>
      </c>
      <c r="K19">
        <v>13</v>
      </c>
      <c r="L19">
        <v>10</v>
      </c>
      <c r="M19">
        <v>15</v>
      </c>
      <c r="N19" s="14">
        <v>0.86670000000000003</v>
      </c>
      <c r="O19">
        <v>77597</v>
      </c>
      <c r="P19" t="s">
        <v>306</v>
      </c>
      <c r="Q19">
        <v>3</v>
      </c>
      <c r="R19" t="s">
        <v>318</v>
      </c>
    </row>
    <row r="20" spans="1:18" x14ac:dyDescent="0.3">
      <c r="A20" t="s">
        <v>66</v>
      </c>
      <c r="B20" t="s">
        <v>319</v>
      </c>
      <c r="C20" t="s">
        <v>299</v>
      </c>
      <c r="D20" t="s">
        <v>309</v>
      </c>
      <c r="E20" t="s">
        <v>301</v>
      </c>
      <c r="F20" s="13">
        <v>46080</v>
      </c>
      <c r="G20" s="13">
        <v>46054</v>
      </c>
      <c r="H20" t="s">
        <v>305</v>
      </c>
      <c r="I20">
        <v>8.8000000000000007</v>
      </c>
      <c r="J20">
        <v>0.9</v>
      </c>
      <c r="K20">
        <v>12</v>
      </c>
      <c r="L20">
        <v>8</v>
      </c>
      <c r="M20">
        <v>15</v>
      </c>
      <c r="N20" s="14">
        <v>0.8</v>
      </c>
      <c r="O20">
        <v>77597</v>
      </c>
      <c r="P20" t="s">
        <v>306</v>
      </c>
      <c r="Q20">
        <v>3</v>
      </c>
      <c r="R20" t="s">
        <v>320</v>
      </c>
    </row>
    <row r="21" spans="1:18" x14ac:dyDescent="0.3">
      <c r="A21" t="s">
        <v>66</v>
      </c>
      <c r="B21" t="s">
        <v>319</v>
      </c>
      <c r="C21" t="s">
        <v>299</v>
      </c>
      <c r="D21" t="s">
        <v>309</v>
      </c>
      <c r="E21" t="s">
        <v>301</v>
      </c>
      <c r="F21" s="13">
        <v>46083</v>
      </c>
      <c r="G21" s="13">
        <v>46082</v>
      </c>
      <c r="H21" t="s">
        <v>302</v>
      </c>
      <c r="I21">
        <v>8.1999999999999993</v>
      </c>
      <c r="J21">
        <v>1.2</v>
      </c>
      <c r="K21">
        <v>17</v>
      </c>
      <c r="L21">
        <v>9</v>
      </c>
      <c r="M21">
        <v>15</v>
      </c>
      <c r="N21" s="14">
        <v>1.1333</v>
      </c>
      <c r="O21">
        <v>77597</v>
      </c>
      <c r="P21" t="s">
        <v>303</v>
      </c>
      <c r="Q21">
        <v>4</v>
      </c>
      <c r="R21" t="s">
        <v>321</v>
      </c>
    </row>
    <row r="22" spans="1:18" x14ac:dyDescent="0.3">
      <c r="A22" t="s">
        <v>70</v>
      </c>
      <c r="B22" t="s">
        <v>322</v>
      </c>
      <c r="C22" t="s">
        <v>18</v>
      </c>
      <c r="D22" t="s">
        <v>48</v>
      </c>
      <c r="E22" t="s">
        <v>323</v>
      </c>
      <c r="F22" s="13">
        <v>46022</v>
      </c>
      <c r="G22" s="13">
        <v>45992</v>
      </c>
      <c r="H22" t="s">
        <v>302</v>
      </c>
      <c r="I22">
        <v>8</v>
      </c>
      <c r="J22">
        <v>1.7</v>
      </c>
      <c r="K22">
        <v>23</v>
      </c>
      <c r="L22">
        <v>8</v>
      </c>
      <c r="M22">
        <v>25</v>
      </c>
      <c r="N22" s="14">
        <v>0.92</v>
      </c>
      <c r="O22">
        <v>64805</v>
      </c>
      <c r="P22" t="s">
        <v>303</v>
      </c>
      <c r="Q22">
        <v>4</v>
      </c>
    </row>
    <row r="23" spans="1:18" x14ac:dyDescent="0.3">
      <c r="A23" t="s">
        <v>70</v>
      </c>
      <c r="B23" t="s">
        <v>322</v>
      </c>
      <c r="C23" t="s">
        <v>18</v>
      </c>
      <c r="D23" t="s">
        <v>48</v>
      </c>
      <c r="E23" t="s">
        <v>323</v>
      </c>
      <c r="F23" s="13">
        <v>46038</v>
      </c>
      <c r="G23" s="13">
        <v>46023</v>
      </c>
      <c r="H23" t="s">
        <v>305</v>
      </c>
      <c r="I23">
        <v>8.4</v>
      </c>
      <c r="J23">
        <v>1.8</v>
      </c>
      <c r="K23">
        <v>18</v>
      </c>
      <c r="L23">
        <v>7</v>
      </c>
      <c r="M23">
        <v>25</v>
      </c>
      <c r="N23" s="14">
        <v>0.72</v>
      </c>
      <c r="O23">
        <v>64805</v>
      </c>
      <c r="P23" t="s">
        <v>306</v>
      </c>
      <c r="Q23">
        <v>3</v>
      </c>
      <c r="R23" t="s">
        <v>311</v>
      </c>
    </row>
    <row r="24" spans="1:18" x14ac:dyDescent="0.3">
      <c r="A24" t="s">
        <v>70</v>
      </c>
      <c r="B24" t="s">
        <v>322</v>
      </c>
      <c r="C24" t="s">
        <v>18</v>
      </c>
      <c r="D24" t="s">
        <v>48</v>
      </c>
      <c r="E24" t="s">
        <v>323</v>
      </c>
      <c r="F24" s="13">
        <v>46078</v>
      </c>
      <c r="G24" s="13">
        <v>46054</v>
      </c>
      <c r="H24" t="s">
        <v>302</v>
      </c>
      <c r="I24">
        <v>7.4</v>
      </c>
      <c r="J24">
        <v>1.1000000000000001</v>
      </c>
      <c r="K24">
        <v>22</v>
      </c>
      <c r="L24">
        <v>8</v>
      </c>
      <c r="M24">
        <v>25</v>
      </c>
      <c r="N24" s="14">
        <v>0.88</v>
      </c>
      <c r="O24">
        <v>64805</v>
      </c>
      <c r="P24" t="s">
        <v>306</v>
      </c>
      <c r="Q24">
        <v>4</v>
      </c>
      <c r="R24" t="s">
        <v>304</v>
      </c>
    </row>
    <row r="25" spans="1:18" x14ac:dyDescent="0.3">
      <c r="A25" t="s">
        <v>70</v>
      </c>
      <c r="B25" t="s">
        <v>322</v>
      </c>
      <c r="C25" t="s">
        <v>18</v>
      </c>
      <c r="D25" t="s">
        <v>48</v>
      </c>
      <c r="E25" t="s">
        <v>323</v>
      </c>
      <c r="F25" s="13">
        <v>46097</v>
      </c>
      <c r="G25" s="13">
        <v>46082</v>
      </c>
      <c r="H25" t="s">
        <v>317</v>
      </c>
      <c r="I25">
        <v>0</v>
      </c>
      <c r="J25">
        <v>0</v>
      </c>
      <c r="K25">
        <v>0</v>
      </c>
      <c r="L25">
        <v>1</v>
      </c>
      <c r="M25">
        <v>25</v>
      </c>
      <c r="N25" s="14">
        <v>0</v>
      </c>
      <c r="O25">
        <v>64805</v>
      </c>
      <c r="P25" t="s">
        <v>306</v>
      </c>
      <c r="Q25">
        <v>1</v>
      </c>
    </row>
    <row r="26" spans="1:18" x14ac:dyDescent="0.3">
      <c r="A26" t="s">
        <v>73</v>
      </c>
      <c r="B26" t="s">
        <v>324</v>
      </c>
      <c r="C26" t="s">
        <v>18</v>
      </c>
      <c r="D26" t="s">
        <v>325</v>
      </c>
      <c r="E26" t="s">
        <v>301</v>
      </c>
      <c r="F26" s="13">
        <v>46000</v>
      </c>
      <c r="G26" s="13">
        <v>45992</v>
      </c>
      <c r="H26" t="s">
        <v>302</v>
      </c>
      <c r="I26">
        <v>8.1</v>
      </c>
      <c r="J26">
        <v>0</v>
      </c>
      <c r="K26">
        <v>21</v>
      </c>
      <c r="L26">
        <v>8</v>
      </c>
      <c r="M26">
        <v>25</v>
      </c>
      <c r="N26" s="14">
        <v>0.84</v>
      </c>
      <c r="O26">
        <v>57307</v>
      </c>
      <c r="P26" t="s">
        <v>306</v>
      </c>
      <c r="Q26">
        <v>5</v>
      </c>
      <c r="R26" t="s">
        <v>321</v>
      </c>
    </row>
    <row r="27" spans="1:18" x14ac:dyDescent="0.3">
      <c r="A27" t="s">
        <v>73</v>
      </c>
      <c r="B27" t="s">
        <v>324</v>
      </c>
      <c r="C27" t="s">
        <v>18</v>
      </c>
      <c r="D27" t="s">
        <v>325</v>
      </c>
      <c r="E27" t="s">
        <v>301</v>
      </c>
      <c r="F27" s="13">
        <v>46036</v>
      </c>
      <c r="G27" s="13">
        <v>46023</v>
      </c>
      <c r="H27" t="s">
        <v>310</v>
      </c>
      <c r="I27">
        <v>0</v>
      </c>
      <c r="J27">
        <v>0</v>
      </c>
      <c r="K27">
        <v>0</v>
      </c>
      <c r="L27">
        <v>2</v>
      </c>
      <c r="M27">
        <v>25</v>
      </c>
      <c r="N27" s="14">
        <v>0</v>
      </c>
      <c r="O27">
        <v>57307</v>
      </c>
      <c r="P27" t="s">
        <v>306</v>
      </c>
      <c r="Q27">
        <v>1</v>
      </c>
      <c r="R27" t="s">
        <v>311</v>
      </c>
    </row>
    <row r="28" spans="1:18" x14ac:dyDescent="0.3">
      <c r="A28" t="s">
        <v>73</v>
      </c>
      <c r="B28" t="s">
        <v>324</v>
      </c>
      <c r="C28" t="s">
        <v>18</v>
      </c>
      <c r="D28" t="s">
        <v>325</v>
      </c>
      <c r="E28" t="s">
        <v>301</v>
      </c>
      <c r="F28" s="13">
        <v>46078</v>
      </c>
      <c r="G28" s="13">
        <v>46054</v>
      </c>
      <c r="H28" t="s">
        <v>305</v>
      </c>
      <c r="I28">
        <v>8.3000000000000007</v>
      </c>
      <c r="J28">
        <v>0</v>
      </c>
      <c r="K28">
        <v>21</v>
      </c>
      <c r="L28">
        <v>8</v>
      </c>
      <c r="M28">
        <v>25</v>
      </c>
      <c r="N28" s="14">
        <v>0.84</v>
      </c>
      <c r="O28">
        <v>57307</v>
      </c>
      <c r="P28" t="s">
        <v>306</v>
      </c>
      <c r="Q28">
        <v>5</v>
      </c>
      <c r="R28" t="s">
        <v>320</v>
      </c>
    </row>
    <row r="29" spans="1:18" x14ac:dyDescent="0.3">
      <c r="A29" t="s">
        <v>73</v>
      </c>
      <c r="B29" t="s">
        <v>324</v>
      </c>
      <c r="C29" t="s">
        <v>18</v>
      </c>
      <c r="D29" t="s">
        <v>325</v>
      </c>
      <c r="E29" t="s">
        <v>301</v>
      </c>
      <c r="F29" s="13">
        <v>46104</v>
      </c>
      <c r="G29" s="13">
        <v>46082</v>
      </c>
      <c r="H29" t="s">
        <v>302</v>
      </c>
      <c r="I29">
        <v>8.1999999999999993</v>
      </c>
      <c r="J29">
        <v>1.1000000000000001</v>
      </c>
      <c r="K29">
        <v>21</v>
      </c>
      <c r="L29">
        <v>6</v>
      </c>
      <c r="M29">
        <v>25</v>
      </c>
      <c r="N29" s="14">
        <v>0.84</v>
      </c>
      <c r="O29">
        <v>57307</v>
      </c>
      <c r="P29" t="s">
        <v>306</v>
      </c>
      <c r="Q29">
        <v>4</v>
      </c>
      <c r="R29" t="s">
        <v>304</v>
      </c>
    </row>
    <row r="30" spans="1:18" x14ac:dyDescent="0.3">
      <c r="A30" t="s">
        <v>76</v>
      </c>
      <c r="B30" t="s">
        <v>326</v>
      </c>
      <c r="C30" t="s">
        <v>18</v>
      </c>
      <c r="D30" t="s">
        <v>327</v>
      </c>
      <c r="E30" t="s">
        <v>328</v>
      </c>
      <c r="F30" s="13">
        <v>46012</v>
      </c>
      <c r="G30" s="13">
        <v>45992</v>
      </c>
      <c r="H30" t="s">
        <v>302</v>
      </c>
      <c r="I30">
        <v>8.8000000000000007</v>
      </c>
      <c r="J30">
        <v>1.6</v>
      </c>
      <c r="K30">
        <v>15</v>
      </c>
      <c r="L30">
        <v>9</v>
      </c>
      <c r="M30">
        <v>22</v>
      </c>
      <c r="N30" s="14">
        <v>0.68179999999999996</v>
      </c>
      <c r="O30">
        <v>39763</v>
      </c>
      <c r="P30" t="s">
        <v>306</v>
      </c>
      <c r="Q30">
        <v>4</v>
      </c>
      <c r="R30" t="s">
        <v>311</v>
      </c>
    </row>
    <row r="31" spans="1:18" x14ac:dyDescent="0.3">
      <c r="A31" t="s">
        <v>76</v>
      </c>
      <c r="B31" t="s">
        <v>326</v>
      </c>
      <c r="C31" t="s">
        <v>18</v>
      </c>
      <c r="D31" t="s">
        <v>327</v>
      </c>
      <c r="E31" t="s">
        <v>328</v>
      </c>
      <c r="F31" s="13">
        <v>46037</v>
      </c>
      <c r="G31" s="13">
        <v>46023</v>
      </c>
      <c r="H31" t="s">
        <v>302</v>
      </c>
      <c r="I31">
        <v>8.6999999999999993</v>
      </c>
      <c r="J31">
        <v>3</v>
      </c>
      <c r="K31">
        <v>15</v>
      </c>
      <c r="L31">
        <v>6</v>
      </c>
      <c r="M31">
        <v>22</v>
      </c>
      <c r="N31" s="14">
        <v>0.68179999999999996</v>
      </c>
      <c r="O31">
        <v>39763</v>
      </c>
      <c r="P31" t="s">
        <v>306</v>
      </c>
      <c r="Q31">
        <v>3</v>
      </c>
      <c r="R31" t="s">
        <v>320</v>
      </c>
    </row>
    <row r="32" spans="1:18" x14ac:dyDescent="0.3">
      <c r="A32" t="s">
        <v>76</v>
      </c>
      <c r="B32" t="s">
        <v>326</v>
      </c>
      <c r="C32" t="s">
        <v>18</v>
      </c>
      <c r="D32" t="s">
        <v>327</v>
      </c>
      <c r="E32" t="s">
        <v>328</v>
      </c>
      <c r="F32" s="13">
        <v>46056</v>
      </c>
      <c r="G32" s="13">
        <v>46054</v>
      </c>
      <c r="H32" t="s">
        <v>302</v>
      </c>
      <c r="I32">
        <v>8</v>
      </c>
      <c r="J32">
        <v>0</v>
      </c>
      <c r="K32">
        <v>19</v>
      </c>
      <c r="L32">
        <v>7</v>
      </c>
      <c r="M32">
        <v>22</v>
      </c>
      <c r="N32" s="14">
        <v>0.86360000000000003</v>
      </c>
      <c r="O32">
        <v>39763</v>
      </c>
      <c r="P32" t="s">
        <v>306</v>
      </c>
      <c r="Q32">
        <v>4</v>
      </c>
      <c r="R32" t="s">
        <v>321</v>
      </c>
    </row>
    <row r="33" spans="1:18" x14ac:dyDescent="0.3">
      <c r="A33" t="s">
        <v>76</v>
      </c>
      <c r="B33" t="s">
        <v>326</v>
      </c>
      <c r="C33" t="s">
        <v>18</v>
      </c>
      <c r="D33" t="s">
        <v>327</v>
      </c>
      <c r="E33" t="s">
        <v>328</v>
      </c>
      <c r="F33" s="13">
        <v>46099</v>
      </c>
      <c r="G33" s="13">
        <v>46082</v>
      </c>
      <c r="H33" t="s">
        <v>302</v>
      </c>
      <c r="I33">
        <v>7.7</v>
      </c>
      <c r="J33">
        <v>2.2999999999999998</v>
      </c>
      <c r="K33">
        <v>16</v>
      </c>
      <c r="L33">
        <v>7</v>
      </c>
      <c r="M33">
        <v>22</v>
      </c>
      <c r="N33" s="14">
        <v>0.72729999999999995</v>
      </c>
      <c r="O33">
        <v>39763</v>
      </c>
      <c r="P33" t="s">
        <v>306</v>
      </c>
      <c r="Q33">
        <v>4</v>
      </c>
      <c r="R33" t="s">
        <v>320</v>
      </c>
    </row>
    <row r="34" spans="1:18" x14ac:dyDescent="0.3">
      <c r="A34" t="s">
        <v>79</v>
      </c>
      <c r="B34" t="s">
        <v>329</v>
      </c>
      <c r="C34" t="s">
        <v>18</v>
      </c>
      <c r="D34" t="s">
        <v>48</v>
      </c>
      <c r="E34" t="s">
        <v>323</v>
      </c>
      <c r="F34" s="13">
        <v>45992</v>
      </c>
      <c r="G34" s="13">
        <v>45992</v>
      </c>
      <c r="H34" t="s">
        <v>302</v>
      </c>
      <c r="I34">
        <v>7.6</v>
      </c>
      <c r="J34">
        <v>1</v>
      </c>
      <c r="K34">
        <v>24</v>
      </c>
      <c r="L34">
        <v>8</v>
      </c>
      <c r="M34">
        <v>22</v>
      </c>
      <c r="N34" s="14">
        <v>1.0909</v>
      </c>
      <c r="O34">
        <v>63792</v>
      </c>
      <c r="P34" t="s">
        <v>303</v>
      </c>
      <c r="Q34">
        <v>4</v>
      </c>
      <c r="R34" t="s">
        <v>304</v>
      </c>
    </row>
    <row r="35" spans="1:18" x14ac:dyDescent="0.3">
      <c r="A35" t="s">
        <v>79</v>
      </c>
      <c r="B35" t="s">
        <v>329</v>
      </c>
      <c r="C35" t="s">
        <v>18</v>
      </c>
      <c r="D35" t="s">
        <v>48</v>
      </c>
      <c r="E35" t="s">
        <v>323</v>
      </c>
      <c r="F35" s="13">
        <v>46024</v>
      </c>
      <c r="G35" s="13">
        <v>46023</v>
      </c>
      <c r="H35" t="s">
        <v>302</v>
      </c>
      <c r="I35">
        <v>8.5</v>
      </c>
      <c r="J35">
        <v>1.6</v>
      </c>
      <c r="K35">
        <v>14</v>
      </c>
      <c r="L35">
        <v>5</v>
      </c>
      <c r="M35">
        <v>22</v>
      </c>
      <c r="N35" s="14">
        <v>0.63639999999999997</v>
      </c>
      <c r="O35">
        <v>63792</v>
      </c>
      <c r="P35" t="s">
        <v>306</v>
      </c>
      <c r="Q35">
        <v>3</v>
      </c>
    </row>
    <row r="36" spans="1:18" x14ac:dyDescent="0.3">
      <c r="A36" t="s">
        <v>79</v>
      </c>
      <c r="B36" t="s">
        <v>329</v>
      </c>
      <c r="C36" t="s">
        <v>18</v>
      </c>
      <c r="D36" t="s">
        <v>48</v>
      </c>
      <c r="E36" t="s">
        <v>323</v>
      </c>
      <c r="F36" s="13">
        <v>46081</v>
      </c>
      <c r="G36" s="13">
        <v>46054</v>
      </c>
      <c r="H36" t="s">
        <v>302</v>
      </c>
      <c r="I36">
        <v>8.5</v>
      </c>
      <c r="J36">
        <v>1.1000000000000001</v>
      </c>
      <c r="K36">
        <v>20</v>
      </c>
      <c r="L36">
        <v>7</v>
      </c>
      <c r="M36">
        <v>22</v>
      </c>
      <c r="N36" s="14">
        <v>0.90910000000000002</v>
      </c>
      <c r="O36">
        <v>63792</v>
      </c>
      <c r="P36" t="s">
        <v>306</v>
      </c>
      <c r="Q36">
        <v>4</v>
      </c>
      <c r="R36" t="s">
        <v>311</v>
      </c>
    </row>
    <row r="37" spans="1:18" x14ac:dyDescent="0.3">
      <c r="A37" t="s">
        <v>79</v>
      </c>
      <c r="B37" t="s">
        <v>329</v>
      </c>
      <c r="C37" t="s">
        <v>18</v>
      </c>
      <c r="D37" t="s">
        <v>48</v>
      </c>
      <c r="E37" t="s">
        <v>323</v>
      </c>
      <c r="F37" s="13">
        <v>46089</v>
      </c>
      <c r="G37" s="13">
        <v>46082</v>
      </c>
      <c r="H37" t="s">
        <v>302</v>
      </c>
      <c r="I37">
        <v>8.5</v>
      </c>
      <c r="J37">
        <v>0.1</v>
      </c>
      <c r="K37">
        <v>26</v>
      </c>
      <c r="L37">
        <v>10</v>
      </c>
      <c r="M37">
        <v>22</v>
      </c>
      <c r="N37" s="14">
        <v>1.1818</v>
      </c>
      <c r="O37">
        <v>63792</v>
      </c>
      <c r="P37" t="s">
        <v>303</v>
      </c>
      <c r="Q37">
        <v>4</v>
      </c>
      <c r="R37" t="s">
        <v>315</v>
      </c>
    </row>
    <row r="38" spans="1:18" x14ac:dyDescent="0.3">
      <c r="A38" t="s">
        <v>81</v>
      </c>
      <c r="B38" t="s">
        <v>330</v>
      </c>
      <c r="C38" t="s">
        <v>18</v>
      </c>
      <c r="D38" t="s">
        <v>325</v>
      </c>
      <c r="E38" t="s">
        <v>331</v>
      </c>
      <c r="F38" s="13">
        <v>45998</v>
      </c>
      <c r="G38" s="13">
        <v>45992</v>
      </c>
      <c r="H38" t="s">
        <v>302</v>
      </c>
      <c r="I38">
        <v>8.6999999999999993</v>
      </c>
      <c r="J38">
        <v>0</v>
      </c>
      <c r="K38">
        <v>18</v>
      </c>
      <c r="L38">
        <v>10</v>
      </c>
      <c r="M38">
        <v>18</v>
      </c>
      <c r="N38" s="14">
        <v>1</v>
      </c>
      <c r="O38">
        <v>58166</v>
      </c>
      <c r="P38" t="s">
        <v>303</v>
      </c>
      <c r="Q38">
        <v>5</v>
      </c>
    </row>
    <row r="39" spans="1:18" x14ac:dyDescent="0.3">
      <c r="A39" t="s">
        <v>81</v>
      </c>
      <c r="B39" t="s">
        <v>330</v>
      </c>
      <c r="C39" t="s">
        <v>18</v>
      </c>
      <c r="D39" t="s">
        <v>325</v>
      </c>
      <c r="E39" t="s">
        <v>331</v>
      </c>
      <c r="F39" s="13">
        <v>46052</v>
      </c>
      <c r="G39" s="13">
        <v>46023</v>
      </c>
      <c r="H39" t="s">
        <v>317</v>
      </c>
      <c r="I39">
        <v>0</v>
      </c>
      <c r="J39">
        <v>0</v>
      </c>
      <c r="K39">
        <v>0</v>
      </c>
      <c r="L39">
        <v>3</v>
      </c>
      <c r="M39">
        <v>18</v>
      </c>
      <c r="N39" s="14">
        <v>0</v>
      </c>
      <c r="O39">
        <v>58166</v>
      </c>
      <c r="P39" t="s">
        <v>306</v>
      </c>
      <c r="Q39">
        <v>2</v>
      </c>
      <c r="R39" t="s">
        <v>321</v>
      </c>
    </row>
    <row r="40" spans="1:18" x14ac:dyDescent="0.3">
      <c r="A40" t="s">
        <v>81</v>
      </c>
      <c r="B40" t="s">
        <v>330</v>
      </c>
      <c r="C40" t="s">
        <v>18</v>
      </c>
      <c r="D40" t="s">
        <v>325</v>
      </c>
      <c r="E40" t="s">
        <v>331</v>
      </c>
      <c r="F40" s="13">
        <v>46069</v>
      </c>
      <c r="G40" s="13">
        <v>46054</v>
      </c>
      <c r="H40" t="s">
        <v>302</v>
      </c>
      <c r="I40">
        <v>8.8000000000000007</v>
      </c>
      <c r="J40">
        <v>2.7</v>
      </c>
      <c r="K40">
        <v>15</v>
      </c>
      <c r="L40">
        <v>7</v>
      </c>
      <c r="M40">
        <v>18</v>
      </c>
      <c r="N40" s="14">
        <v>0.83330000000000004</v>
      </c>
      <c r="O40">
        <v>58166</v>
      </c>
      <c r="P40" t="s">
        <v>306</v>
      </c>
      <c r="Q40">
        <v>3</v>
      </c>
      <c r="R40" t="s">
        <v>315</v>
      </c>
    </row>
    <row r="41" spans="1:18" x14ac:dyDescent="0.3">
      <c r="A41" t="s">
        <v>81</v>
      </c>
      <c r="B41" t="s">
        <v>330</v>
      </c>
      <c r="C41" t="s">
        <v>18</v>
      </c>
      <c r="D41" t="s">
        <v>325</v>
      </c>
      <c r="E41" t="s">
        <v>331</v>
      </c>
      <c r="F41" s="13">
        <v>46107</v>
      </c>
      <c r="G41" s="13">
        <v>46082</v>
      </c>
      <c r="H41" t="s">
        <v>302</v>
      </c>
      <c r="I41">
        <v>7.8</v>
      </c>
      <c r="J41">
        <v>0.7</v>
      </c>
      <c r="K41">
        <v>16</v>
      </c>
      <c r="L41">
        <v>9</v>
      </c>
      <c r="M41">
        <v>18</v>
      </c>
      <c r="N41" s="14">
        <v>0.88890000000000002</v>
      </c>
      <c r="O41">
        <v>58166</v>
      </c>
      <c r="P41" t="s">
        <v>306</v>
      </c>
      <c r="Q41">
        <v>5</v>
      </c>
    </row>
    <row r="42" spans="1:18" x14ac:dyDescent="0.3">
      <c r="A42" t="s">
        <v>83</v>
      </c>
      <c r="B42" t="s">
        <v>332</v>
      </c>
      <c r="C42" t="s">
        <v>16</v>
      </c>
      <c r="D42" t="s">
        <v>54</v>
      </c>
      <c r="E42" t="s">
        <v>331</v>
      </c>
      <c r="F42" s="13">
        <v>45995</v>
      </c>
      <c r="G42" s="13">
        <v>45992</v>
      </c>
      <c r="H42" t="s">
        <v>302</v>
      </c>
      <c r="I42">
        <v>8.3000000000000007</v>
      </c>
      <c r="J42">
        <v>2.2999999999999998</v>
      </c>
      <c r="K42">
        <v>20</v>
      </c>
      <c r="L42">
        <v>10</v>
      </c>
      <c r="M42">
        <v>25</v>
      </c>
      <c r="N42" s="14">
        <v>0.8</v>
      </c>
      <c r="O42">
        <v>35022</v>
      </c>
      <c r="P42" t="s">
        <v>306</v>
      </c>
      <c r="Q42">
        <v>5</v>
      </c>
      <c r="R42" t="s">
        <v>318</v>
      </c>
    </row>
    <row r="43" spans="1:18" x14ac:dyDescent="0.3">
      <c r="A43" t="s">
        <v>83</v>
      </c>
      <c r="B43" t="s">
        <v>332</v>
      </c>
      <c r="C43" t="s">
        <v>16</v>
      </c>
      <c r="D43" t="s">
        <v>54</v>
      </c>
      <c r="E43" t="s">
        <v>331</v>
      </c>
      <c r="F43" s="13">
        <v>46036</v>
      </c>
      <c r="G43" s="13">
        <v>46023</v>
      </c>
      <c r="H43" t="s">
        <v>302</v>
      </c>
      <c r="I43">
        <v>7.8</v>
      </c>
      <c r="J43">
        <v>0</v>
      </c>
      <c r="K43">
        <v>23</v>
      </c>
      <c r="L43">
        <v>8</v>
      </c>
      <c r="M43">
        <v>25</v>
      </c>
      <c r="N43" s="14">
        <v>0.92</v>
      </c>
      <c r="O43">
        <v>35022</v>
      </c>
      <c r="P43" t="s">
        <v>303</v>
      </c>
      <c r="Q43">
        <v>4</v>
      </c>
    </row>
    <row r="44" spans="1:18" x14ac:dyDescent="0.3">
      <c r="A44" t="s">
        <v>83</v>
      </c>
      <c r="B44" t="s">
        <v>332</v>
      </c>
      <c r="C44" t="s">
        <v>16</v>
      </c>
      <c r="D44" t="s">
        <v>54</v>
      </c>
      <c r="E44" t="s">
        <v>331</v>
      </c>
      <c r="F44" s="13">
        <v>46055</v>
      </c>
      <c r="G44" s="13">
        <v>46054</v>
      </c>
      <c r="H44" t="s">
        <v>302</v>
      </c>
      <c r="I44">
        <v>8.6</v>
      </c>
      <c r="J44">
        <v>0.7</v>
      </c>
      <c r="K44">
        <v>17</v>
      </c>
      <c r="L44">
        <v>5</v>
      </c>
      <c r="M44">
        <v>25</v>
      </c>
      <c r="N44" s="14">
        <v>0.68</v>
      </c>
      <c r="O44">
        <v>35022</v>
      </c>
      <c r="P44" t="s">
        <v>306</v>
      </c>
      <c r="Q44">
        <v>2</v>
      </c>
      <c r="R44" t="s">
        <v>304</v>
      </c>
    </row>
    <row r="45" spans="1:18" x14ac:dyDescent="0.3">
      <c r="A45" t="s">
        <v>83</v>
      </c>
      <c r="B45" t="s">
        <v>332</v>
      </c>
      <c r="C45" t="s">
        <v>16</v>
      </c>
      <c r="D45" t="s">
        <v>54</v>
      </c>
      <c r="E45" t="s">
        <v>331</v>
      </c>
      <c r="F45" s="13">
        <v>46085</v>
      </c>
      <c r="G45" s="13">
        <v>46082</v>
      </c>
      <c r="H45" t="s">
        <v>302</v>
      </c>
      <c r="I45">
        <v>8.8000000000000007</v>
      </c>
      <c r="J45">
        <v>1</v>
      </c>
      <c r="K45">
        <v>16</v>
      </c>
      <c r="L45">
        <v>7</v>
      </c>
      <c r="M45">
        <v>25</v>
      </c>
      <c r="N45" s="14">
        <v>0.64</v>
      </c>
      <c r="O45">
        <v>35022</v>
      </c>
      <c r="P45" t="s">
        <v>306</v>
      </c>
      <c r="Q45">
        <v>4</v>
      </c>
    </row>
    <row r="46" spans="1:18" x14ac:dyDescent="0.3">
      <c r="A46" t="s">
        <v>85</v>
      </c>
      <c r="B46" t="s">
        <v>333</v>
      </c>
      <c r="C46" t="s">
        <v>16</v>
      </c>
      <c r="D46" t="s">
        <v>72</v>
      </c>
      <c r="E46" t="s">
        <v>334</v>
      </c>
      <c r="F46" s="13">
        <v>46002</v>
      </c>
      <c r="G46" s="13">
        <v>45992</v>
      </c>
      <c r="H46" t="s">
        <v>305</v>
      </c>
      <c r="I46">
        <v>7.8</v>
      </c>
      <c r="J46">
        <v>1</v>
      </c>
      <c r="K46">
        <v>13</v>
      </c>
      <c r="L46">
        <v>7</v>
      </c>
      <c r="M46">
        <v>15</v>
      </c>
      <c r="N46" s="14">
        <v>0.86670000000000003</v>
      </c>
      <c r="O46">
        <v>75149</v>
      </c>
      <c r="P46" t="s">
        <v>306</v>
      </c>
      <c r="Q46">
        <v>4</v>
      </c>
    </row>
    <row r="47" spans="1:18" x14ac:dyDescent="0.3">
      <c r="A47" t="s">
        <v>85</v>
      </c>
      <c r="B47" t="s">
        <v>333</v>
      </c>
      <c r="C47" t="s">
        <v>16</v>
      </c>
      <c r="D47" t="s">
        <v>72</v>
      </c>
      <c r="E47" t="s">
        <v>334</v>
      </c>
      <c r="F47" s="13">
        <v>46030</v>
      </c>
      <c r="G47" s="13">
        <v>46023</v>
      </c>
      <c r="H47" t="s">
        <v>302</v>
      </c>
      <c r="I47">
        <v>8.6</v>
      </c>
      <c r="J47">
        <v>1.9</v>
      </c>
      <c r="K47">
        <v>16</v>
      </c>
      <c r="L47">
        <v>8</v>
      </c>
      <c r="M47">
        <v>15</v>
      </c>
      <c r="N47" s="14">
        <v>1.0667</v>
      </c>
      <c r="O47">
        <v>75149</v>
      </c>
      <c r="P47" t="s">
        <v>303</v>
      </c>
      <c r="Q47">
        <v>3</v>
      </c>
      <c r="R47" t="s">
        <v>311</v>
      </c>
    </row>
    <row r="48" spans="1:18" x14ac:dyDescent="0.3">
      <c r="A48" t="s">
        <v>85</v>
      </c>
      <c r="B48" t="s">
        <v>333</v>
      </c>
      <c r="C48" t="s">
        <v>16</v>
      </c>
      <c r="D48" t="s">
        <v>72</v>
      </c>
      <c r="E48" t="s">
        <v>334</v>
      </c>
      <c r="F48" s="13">
        <v>46068</v>
      </c>
      <c r="G48" s="13">
        <v>46054</v>
      </c>
      <c r="H48" t="s">
        <v>302</v>
      </c>
      <c r="I48">
        <v>8.6</v>
      </c>
      <c r="J48">
        <v>1.3</v>
      </c>
      <c r="K48">
        <v>14</v>
      </c>
      <c r="L48">
        <v>10</v>
      </c>
      <c r="M48">
        <v>15</v>
      </c>
      <c r="N48" s="14">
        <v>0.93330000000000002</v>
      </c>
      <c r="O48">
        <v>75149</v>
      </c>
      <c r="P48" t="s">
        <v>303</v>
      </c>
      <c r="Q48">
        <v>5</v>
      </c>
    </row>
    <row r="49" spans="1:18" x14ac:dyDescent="0.3">
      <c r="A49" t="s">
        <v>85</v>
      </c>
      <c r="B49" t="s">
        <v>333</v>
      </c>
      <c r="C49" t="s">
        <v>16</v>
      </c>
      <c r="D49" t="s">
        <v>72</v>
      </c>
      <c r="E49" t="s">
        <v>334</v>
      </c>
      <c r="F49" s="13">
        <v>46090</v>
      </c>
      <c r="G49" s="13">
        <v>46082</v>
      </c>
      <c r="H49" t="s">
        <v>302</v>
      </c>
      <c r="I49">
        <v>9</v>
      </c>
      <c r="J49">
        <v>1.8</v>
      </c>
      <c r="K49">
        <v>15</v>
      </c>
      <c r="L49">
        <v>9</v>
      </c>
      <c r="M49">
        <v>15</v>
      </c>
      <c r="N49" s="14">
        <v>1</v>
      </c>
      <c r="O49">
        <v>75149</v>
      </c>
      <c r="P49" t="s">
        <v>303</v>
      </c>
      <c r="Q49">
        <v>5</v>
      </c>
    </row>
    <row r="50" spans="1:18" x14ac:dyDescent="0.3">
      <c r="A50" t="s">
        <v>87</v>
      </c>
      <c r="B50" t="s">
        <v>335</v>
      </c>
      <c r="C50" t="s">
        <v>16</v>
      </c>
      <c r="D50" t="s">
        <v>336</v>
      </c>
      <c r="E50" t="s">
        <v>331</v>
      </c>
      <c r="F50" s="13">
        <v>46006</v>
      </c>
      <c r="G50" s="13">
        <v>45992</v>
      </c>
      <c r="H50" t="s">
        <v>305</v>
      </c>
      <c r="I50">
        <v>7.8</v>
      </c>
      <c r="J50">
        <v>0.6</v>
      </c>
      <c r="K50">
        <v>14</v>
      </c>
      <c r="L50">
        <v>8</v>
      </c>
      <c r="M50">
        <v>18</v>
      </c>
      <c r="N50" s="14">
        <v>0.77780000000000005</v>
      </c>
      <c r="O50">
        <v>44575</v>
      </c>
      <c r="P50" t="s">
        <v>306</v>
      </c>
      <c r="Q50">
        <v>5</v>
      </c>
      <c r="R50" t="s">
        <v>311</v>
      </c>
    </row>
    <row r="51" spans="1:18" x14ac:dyDescent="0.3">
      <c r="A51" t="s">
        <v>87</v>
      </c>
      <c r="B51" t="s">
        <v>335</v>
      </c>
      <c r="C51" t="s">
        <v>16</v>
      </c>
      <c r="D51" t="s">
        <v>336</v>
      </c>
      <c r="E51" t="s">
        <v>331</v>
      </c>
      <c r="F51" s="13">
        <v>46026</v>
      </c>
      <c r="G51" s="13">
        <v>46023</v>
      </c>
      <c r="H51" t="s">
        <v>302</v>
      </c>
      <c r="I51">
        <v>7.2</v>
      </c>
      <c r="J51">
        <v>1.5</v>
      </c>
      <c r="K51">
        <v>10</v>
      </c>
      <c r="L51">
        <v>5</v>
      </c>
      <c r="M51">
        <v>18</v>
      </c>
      <c r="N51" s="14">
        <v>0.55559999999999998</v>
      </c>
      <c r="O51">
        <v>44575</v>
      </c>
      <c r="P51" t="s">
        <v>306</v>
      </c>
      <c r="Q51">
        <v>3</v>
      </c>
      <c r="R51" t="s">
        <v>311</v>
      </c>
    </row>
    <row r="52" spans="1:18" x14ac:dyDescent="0.3">
      <c r="A52" t="s">
        <v>87</v>
      </c>
      <c r="B52" t="s">
        <v>335</v>
      </c>
      <c r="C52" t="s">
        <v>16</v>
      </c>
      <c r="D52" t="s">
        <v>336</v>
      </c>
      <c r="E52" t="s">
        <v>331</v>
      </c>
      <c r="F52" s="13">
        <v>46080</v>
      </c>
      <c r="G52" s="13">
        <v>46054</v>
      </c>
      <c r="H52" t="s">
        <v>302</v>
      </c>
      <c r="I52">
        <v>8.3000000000000007</v>
      </c>
      <c r="J52">
        <v>0</v>
      </c>
      <c r="K52">
        <v>13</v>
      </c>
      <c r="L52">
        <v>8</v>
      </c>
      <c r="M52">
        <v>18</v>
      </c>
      <c r="N52" s="14">
        <v>0.72219999999999995</v>
      </c>
      <c r="O52">
        <v>44575</v>
      </c>
      <c r="P52" t="s">
        <v>306</v>
      </c>
      <c r="Q52">
        <v>4</v>
      </c>
    </row>
    <row r="53" spans="1:18" x14ac:dyDescent="0.3">
      <c r="A53" t="s">
        <v>87</v>
      </c>
      <c r="B53" t="s">
        <v>335</v>
      </c>
      <c r="C53" t="s">
        <v>16</v>
      </c>
      <c r="D53" t="s">
        <v>336</v>
      </c>
      <c r="E53" t="s">
        <v>331</v>
      </c>
      <c r="F53" s="13">
        <v>46111</v>
      </c>
      <c r="G53" s="13">
        <v>46082</v>
      </c>
      <c r="H53" t="s">
        <v>305</v>
      </c>
      <c r="I53">
        <v>8.4</v>
      </c>
      <c r="J53">
        <v>0.8</v>
      </c>
      <c r="K53">
        <v>13</v>
      </c>
      <c r="L53">
        <v>10</v>
      </c>
      <c r="M53">
        <v>18</v>
      </c>
      <c r="N53" s="14">
        <v>0.72219999999999995</v>
      </c>
      <c r="O53">
        <v>44575</v>
      </c>
      <c r="P53" t="s">
        <v>306</v>
      </c>
      <c r="Q53">
        <v>5</v>
      </c>
      <c r="R53" t="s">
        <v>320</v>
      </c>
    </row>
    <row r="54" spans="1:18" x14ac:dyDescent="0.3">
      <c r="A54" t="s">
        <v>89</v>
      </c>
      <c r="B54" t="s">
        <v>337</v>
      </c>
      <c r="C54" t="s">
        <v>16</v>
      </c>
      <c r="D54" t="s">
        <v>54</v>
      </c>
      <c r="E54" t="s">
        <v>334</v>
      </c>
      <c r="F54" s="13">
        <v>45997</v>
      </c>
      <c r="G54" s="13">
        <v>45992</v>
      </c>
      <c r="H54" t="s">
        <v>302</v>
      </c>
      <c r="I54">
        <v>7.1</v>
      </c>
      <c r="J54">
        <v>1</v>
      </c>
      <c r="K54">
        <v>15</v>
      </c>
      <c r="L54">
        <v>8</v>
      </c>
      <c r="M54">
        <v>20</v>
      </c>
      <c r="N54" s="14">
        <v>0.75</v>
      </c>
      <c r="O54">
        <v>34653</v>
      </c>
      <c r="P54" t="s">
        <v>306</v>
      </c>
      <c r="Q54">
        <v>4</v>
      </c>
      <c r="R54" t="s">
        <v>315</v>
      </c>
    </row>
    <row r="55" spans="1:18" x14ac:dyDescent="0.3">
      <c r="A55" t="s">
        <v>89</v>
      </c>
      <c r="B55" t="s">
        <v>337</v>
      </c>
      <c r="C55" t="s">
        <v>16</v>
      </c>
      <c r="D55" t="s">
        <v>54</v>
      </c>
      <c r="E55" t="s">
        <v>334</v>
      </c>
      <c r="F55" s="13">
        <v>46029</v>
      </c>
      <c r="G55" s="13">
        <v>46023</v>
      </c>
      <c r="H55" t="s">
        <v>317</v>
      </c>
      <c r="I55">
        <v>0</v>
      </c>
      <c r="J55">
        <v>0</v>
      </c>
      <c r="K55">
        <v>0</v>
      </c>
      <c r="L55">
        <v>2</v>
      </c>
      <c r="M55">
        <v>20</v>
      </c>
      <c r="N55" s="14">
        <v>0</v>
      </c>
      <c r="O55">
        <v>34653</v>
      </c>
      <c r="P55" t="s">
        <v>306</v>
      </c>
      <c r="Q55">
        <v>1</v>
      </c>
    </row>
    <row r="56" spans="1:18" x14ac:dyDescent="0.3">
      <c r="A56" t="s">
        <v>89</v>
      </c>
      <c r="B56" t="s">
        <v>337</v>
      </c>
      <c r="C56" t="s">
        <v>16</v>
      </c>
      <c r="D56" t="s">
        <v>54</v>
      </c>
      <c r="E56" t="s">
        <v>334</v>
      </c>
      <c r="F56" s="13">
        <v>46059</v>
      </c>
      <c r="G56" s="13">
        <v>46054</v>
      </c>
      <c r="H56" t="s">
        <v>302</v>
      </c>
      <c r="I56">
        <v>8.8000000000000007</v>
      </c>
      <c r="J56">
        <v>0</v>
      </c>
      <c r="K56">
        <v>16</v>
      </c>
      <c r="L56">
        <v>7</v>
      </c>
      <c r="M56">
        <v>20</v>
      </c>
      <c r="N56" s="14">
        <v>0.8</v>
      </c>
      <c r="O56">
        <v>34653</v>
      </c>
      <c r="P56" t="s">
        <v>306</v>
      </c>
      <c r="Q56">
        <v>3</v>
      </c>
      <c r="R56" t="s">
        <v>307</v>
      </c>
    </row>
    <row r="57" spans="1:18" x14ac:dyDescent="0.3">
      <c r="A57" t="s">
        <v>89</v>
      </c>
      <c r="B57" t="s">
        <v>337</v>
      </c>
      <c r="C57" t="s">
        <v>16</v>
      </c>
      <c r="D57" t="s">
        <v>54</v>
      </c>
      <c r="E57" t="s">
        <v>334</v>
      </c>
      <c r="F57" s="13">
        <v>46090</v>
      </c>
      <c r="G57" s="13">
        <v>46082</v>
      </c>
      <c r="H57" t="s">
        <v>317</v>
      </c>
      <c r="I57">
        <v>0</v>
      </c>
      <c r="J57">
        <v>0</v>
      </c>
      <c r="K57">
        <v>0</v>
      </c>
      <c r="L57">
        <v>4</v>
      </c>
      <c r="M57">
        <v>20</v>
      </c>
      <c r="N57" s="14">
        <v>0</v>
      </c>
      <c r="O57">
        <v>34653</v>
      </c>
      <c r="P57" t="s">
        <v>306</v>
      </c>
      <c r="Q57">
        <v>2</v>
      </c>
      <c r="R57" t="s">
        <v>315</v>
      </c>
    </row>
    <row r="58" spans="1:18" x14ac:dyDescent="0.3">
      <c r="A58" t="s">
        <v>91</v>
      </c>
      <c r="B58" t="s">
        <v>338</v>
      </c>
      <c r="C58" t="s">
        <v>16</v>
      </c>
      <c r="D58" t="s">
        <v>72</v>
      </c>
      <c r="E58" t="s">
        <v>323</v>
      </c>
      <c r="F58" s="13">
        <v>46001</v>
      </c>
      <c r="G58" s="13">
        <v>45992</v>
      </c>
      <c r="H58" t="s">
        <v>302</v>
      </c>
      <c r="I58">
        <v>7.5</v>
      </c>
      <c r="J58">
        <v>1.7</v>
      </c>
      <c r="K58">
        <v>18</v>
      </c>
      <c r="L58">
        <v>10</v>
      </c>
      <c r="M58">
        <v>15</v>
      </c>
      <c r="N58" s="14">
        <v>1.2</v>
      </c>
      <c r="O58">
        <v>72277</v>
      </c>
      <c r="P58" t="s">
        <v>303</v>
      </c>
      <c r="Q58">
        <v>4</v>
      </c>
    </row>
    <row r="59" spans="1:18" x14ac:dyDescent="0.3">
      <c r="A59" t="s">
        <v>91</v>
      </c>
      <c r="B59" t="s">
        <v>338</v>
      </c>
      <c r="C59" t="s">
        <v>16</v>
      </c>
      <c r="D59" t="s">
        <v>72</v>
      </c>
      <c r="E59" t="s">
        <v>323</v>
      </c>
      <c r="F59" s="13">
        <v>46048</v>
      </c>
      <c r="G59" s="13">
        <v>46023</v>
      </c>
      <c r="H59" t="s">
        <v>302</v>
      </c>
      <c r="I59">
        <v>8</v>
      </c>
      <c r="J59">
        <v>2.1</v>
      </c>
      <c r="K59">
        <v>11</v>
      </c>
      <c r="L59">
        <v>8</v>
      </c>
      <c r="M59">
        <v>15</v>
      </c>
      <c r="N59" s="14">
        <v>0.73329999999999995</v>
      </c>
      <c r="O59">
        <v>72277</v>
      </c>
      <c r="P59" t="s">
        <v>306</v>
      </c>
      <c r="Q59">
        <v>4</v>
      </c>
    </row>
    <row r="60" spans="1:18" x14ac:dyDescent="0.3">
      <c r="A60" t="s">
        <v>91</v>
      </c>
      <c r="B60" t="s">
        <v>338</v>
      </c>
      <c r="C60" t="s">
        <v>16</v>
      </c>
      <c r="D60" t="s">
        <v>72</v>
      </c>
      <c r="E60" t="s">
        <v>323</v>
      </c>
      <c r="F60" s="13">
        <v>46069</v>
      </c>
      <c r="G60" s="13">
        <v>46054</v>
      </c>
      <c r="H60" t="s">
        <v>302</v>
      </c>
      <c r="I60">
        <v>7.7</v>
      </c>
      <c r="J60">
        <v>0.7</v>
      </c>
      <c r="K60">
        <v>4</v>
      </c>
      <c r="L60">
        <v>3</v>
      </c>
      <c r="M60">
        <v>15</v>
      </c>
      <c r="N60" s="14">
        <v>0.26669999999999999</v>
      </c>
      <c r="O60">
        <v>72277</v>
      </c>
      <c r="P60" t="s">
        <v>306</v>
      </c>
      <c r="Q60">
        <v>1</v>
      </c>
      <c r="R60" t="s">
        <v>312</v>
      </c>
    </row>
    <row r="61" spans="1:18" x14ac:dyDescent="0.3">
      <c r="A61" t="s">
        <v>91</v>
      </c>
      <c r="B61" t="s">
        <v>338</v>
      </c>
      <c r="C61" t="s">
        <v>16</v>
      </c>
      <c r="D61" t="s">
        <v>72</v>
      </c>
      <c r="E61" t="s">
        <v>323</v>
      </c>
      <c r="F61" s="13">
        <v>46088</v>
      </c>
      <c r="G61" s="13">
        <v>46082</v>
      </c>
      <c r="H61" t="s">
        <v>310</v>
      </c>
      <c r="I61">
        <v>0</v>
      </c>
      <c r="J61">
        <v>0</v>
      </c>
      <c r="K61">
        <v>0</v>
      </c>
      <c r="L61">
        <v>1</v>
      </c>
      <c r="M61">
        <v>15</v>
      </c>
      <c r="N61" s="14">
        <v>0</v>
      </c>
      <c r="O61">
        <v>72277</v>
      </c>
      <c r="P61" t="s">
        <v>306</v>
      </c>
      <c r="Q61">
        <v>1</v>
      </c>
      <c r="R61" t="s">
        <v>321</v>
      </c>
    </row>
    <row r="62" spans="1:18" x14ac:dyDescent="0.3">
      <c r="A62" t="s">
        <v>93</v>
      </c>
      <c r="B62" t="s">
        <v>339</v>
      </c>
      <c r="C62" t="s">
        <v>17</v>
      </c>
      <c r="D62" t="s">
        <v>75</v>
      </c>
      <c r="E62" t="s">
        <v>328</v>
      </c>
      <c r="F62" s="13">
        <v>46015</v>
      </c>
      <c r="G62" s="13">
        <v>45992</v>
      </c>
      <c r="H62" t="s">
        <v>302</v>
      </c>
      <c r="I62">
        <v>7.4</v>
      </c>
      <c r="J62">
        <v>0.4</v>
      </c>
      <c r="K62">
        <v>19</v>
      </c>
      <c r="L62">
        <v>10</v>
      </c>
      <c r="M62">
        <v>22</v>
      </c>
      <c r="N62" s="14">
        <v>0.86360000000000003</v>
      </c>
      <c r="O62">
        <v>56032</v>
      </c>
      <c r="P62" t="s">
        <v>306</v>
      </c>
      <c r="Q62">
        <v>4</v>
      </c>
    </row>
    <row r="63" spans="1:18" x14ac:dyDescent="0.3">
      <c r="A63" t="s">
        <v>93</v>
      </c>
      <c r="B63" t="s">
        <v>339</v>
      </c>
      <c r="C63" t="s">
        <v>17</v>
      </c>
      <c r="D63" t="s">
        <v>75</v>
      </c>
      <c r="E63" t="s">
        <v>328</v>
      </c>
      <c r="F63" s="13">
        <v>46033</v>
      </c>
      <c r="G63" s="13">
        <v>46023</v>
      </c>
      <c r="H63" t="s">
        <v>302</v>
      </c>
      <c r="I63">
        <v>9</v>
      </c>
      <c r="J63">
        <v>0.8</v>
      </c>
      <c r="K63">
        <v>15</v>
      </c>
      <c r="L63">
        <v>7</v>
      </c>
      <c r="M63">
        <v>22</v>
      </c>
      <c r="N63" s="14">
        <v>0.68179999999999996</v>
      </c>
      <c r="O63">
        <v>56032</v>
      </c>
      <c r="P63" t="s">
        <v>306</v>
      </c>
      <c r="Q63">
        <v>4</v>
      </c>
      <c r="R63" t="s">
        <v>321</v>
      </c>
    </row>
    <row r="64" spans="1:18" x14ac:dyDescent="0.3">
      <c r="A64" t="s">
        <v>93</v>
      </c>
      <c r="B64" t="s">
        <v>339</v>
      </c>
      <c r="C64" t="s">
        <v>17</v>
      </c>
      <c r="D64" t="s">
        <v>75</v>
      </c>
      <c r="E64" t="s">
        <v>328</v>
      </c>
      <c r="F64" s="13">
        <v>46069</v>
      </c>
      <c r="G64" s="13">
        <v>46054</v>
      </c>
      <c r="H64" t="s">
        <v>302</v>
      </c>
      <c r="I64">
        <v>7.9</v>
      </c>
      <c r="J64">
        <v>0.9</v>
      </c>
      <c r="K64">
        <v>17</v>
      </c>
      <c r="L64">
        <v>8</v>
      </c>
      <c r="M64">
        <v>22</v>
      </c>
      <c r="N64" s="14">
        <v>0.77270000000000005</v>
      </c>
      <c r="O64">
        <v>56032</v>
      </c>
      <c r="P64" t="s">
        <v>306</v>
      </c>
      <c r="Q64">
        <v>4</v>
      </c>
      <c r="R64" t="s">
        <v>311</v>
      </c>
    </row>
    <row r="65" spans="1:18" x14ac:dyDescent="0.3">
      <c r="A65" t="s">
        <v>93</v>
      </c>
      <c r="B65" t="s">
        <v>339</v>
      </c>
      <c r="C65" t="s">
        <v>17</v>
      </c>
      <c r="D65" t="s">
        <v>75</v>
      </c>
      <c r="E65" t="s">
        <v>328</v>
      </c>
      <c r="F65" s="13">
        <v>46087</v>
      </c>
      <c r="G65" s="13">
        <v>46082</v>
      </c>
      <c r="H65" t="s">
        <v>302</v>
      </c>
      <c r="I65">
        <v>9.3000000000000007</v>
      </c>
      <c r="J65">
        <v>0</v>
      </c>
      <c r="K65">
        <v>27</v>
      </c>
      <c r="L65">
        <v>8</v>
      </c>
      <c r="M65">
        <v>22</v>
      </c>
      <c r="N65" s="14">
        <v>1.2273000000000001</v>
      </c>
      <c r="O65">
        <v>56032</v>
      </c>
      <c r="P65" t="s">
        <v>303</v>
      </c>
      <c r="Q65">
        <v>4</v>
      </c>
      <c r="R65" t="s">
        <v>311</v>
      </c>
    </row>
    <row r="66" spans="1:18" x14ac:dyDescent="0.3">
      <c r="A66" t="s">
        <v>95</v>
      </c>
      <c r="B66" t="s">
        <v>340</v>
      </c>
      <c r="C66" t="s">
        <v>17</v>
      </c>
      <c r="D66" t="s">
        <v>59</v>
      </c>
      <c r="E66" t="s">
        <v>301</v>
      </c>
      <c r="F66" s="13">
        <v>45994</v>
      </c>
      <c r="G66" s="13">
        <v>45992</v>
      </c>
      <c r="H66" t="s">
        <v>317</v>
      </c>
      <c r="I66">
        <v>0</v>
      </c>
      <c r="J66">
        <v>0</v>
      </c>
      <c r="K66">
        <v>0</v>
      </c>
      <c r="L66">
        <v>3</v>
      </c>
      <c r="M66">
        <v>20</v>
      </c>
      <c r="N66" s="14">
        <v>0</v>
      </c>
      <c r="O66">
        <v>44990</v>
      </c>
      <c r="P66" t="s">
        <v>306</v>
      </c>
      <c r="Q66">
        <v>2</v>
      </c>
    </row>
    <row r="67" spans="1:18" x14ac:dyDescent="0.3">
      <c r="A67" t="s">
        <v>95</v>
      </c>
      <c r="B67" t="s">
        <v>340</v>
      </c>
      <c r="C67" t="s">
        <v>17</v>
      </c>
      <c r="D67" t="s">
        <v>59</v>
      </c>
      <c r="E67" t="s">
        <v>301</v>
      </c>
      <c r="F67" s="13">
        <v>46042</v>
      </c>
      <c r="G67" s="13">
        <v>46023</v>
      </c>
      <c r="H67" t="s">
        <v>302</v>
      </c>
      <c r="I67">
        <v>7.9</v>
      </c>
      <c r="J67">
        <v>0.6</v>
      </c>
      <c r="K67">
        <v>15</v>
      </c>
      <c r="L67">
        <v>6</v>
      </c>
      <c r="M67">
        <v>20</v>
      </c>
      <c r="N67" s="14">
        <v>0.75</v>
      </c>
      <c r="O67">
        <v>44990</v>
      </c>
      <c r="P67" t="s">
        <v>306</v>
      </c>
      <c r="Q67">
        <v>4</v>
      </c>
      <c r="R67" t="s">
        <v>320</v>
      </c>
    </row>
    <row r="68" spans="1:18" x14ac:dyDescent="0.3">
      <c r="A68" t="s">
        <v>95</v>
      </c>
      <c r="B68" t="s">
        <v>340</v>
      </c>
      <c r="C68" t="s">
        <v>17</v>
      </c>
      <c r="D68" t="s">
        <v>59</v>
      </c>
      <c r="E68" t="s">
        <v>301</v>
      </c>
      <c r="F68" s="13">
        <v>46066</v>
      </c>
      <c r="G68" s="13">
        <v>46054</v>
      </c>
      <c r="H68" t="s">
        <v>302</v>
      </c>
      <c r="I68">
        <v>8.5</v>
      </c>
      <c r="J68">
        <v>0.1</v>
      </c>
      <c r="K68">
        <v>20</v>
      </c>
      <c r="L68">
        <v>9</v>
      </c>
      <c r="M68">
        <v>20</v>
      </c>
      <c r="N68" s="14">
        <v>1</v>
      </c>
      <c r="O68">
        <v>44990</v>
      </c>
      <c r="P68" t="s">
        <v>303</v>
      </c>
      <c r="Q68">
        <v>5</v>
      </c>
      <c r="R68" t="s">
        <v>321</v>
      </c>
    </row>
    <row r="69" spans="1:18" x14ac:dyDescent="0.3">
      <c r="A69" t="s">
        <v>95</v>
      </c>
      <c r="B69" t="s">
        <v>340</v>
      </c>
      <c r="C69" t="s">
        <v>17</v>
      </c>
      <c r="D69" t="s">
        <v>59</v>
      </c>
      <c r="E69" t="s">
        <v>301</v>
      </c>
      <c r="F69" s="13">
        <v>46089</v>
      </c>
      <c r="G69" s="13">
        <v>46082</v>
      </c>
      <c r="H69" t="s">
        <v>302</v>
      </c>
      <c r="I69">
        <v>8.6999999999999993</v>
      </c>
      <c r="J69">
        <v>0</v>
      </c>
      <c r="K69">
        <v>15</v>
      </c>
      <c r="L69">
        <v>8</v>
      </c>
      <c r="M69">
        <v>20</v>
      </c>
      <c r="N69" s="14">
        <v>0.75</v>
      </c>
      <c r="O69">
        <v>44990</v>
      </c>
      <c r="P69" t="s">
        <v>306</v>
      </c>
      <c r="Q69">
        <v>4</v>
      </c>
    </row>
    <row r="70" spans="1:18" x14ac:dyDescent="0.3">
      <c r="A70" t="s">
        <v>97</v>
      </c>
      <c r="B70" t="s">
        <v>341</v>
      </c>
      <c r="C70" t="s">
        <v>17</v>
      </c>
      <c r="D70" t="s">
        <v>342</v>
      </c>
      <c r="E70" t="s">
        <v>328</v>
      </c>
      <c r="F70" s="13">
        <v>46011</v>
      </c>
      <c r="G70" s="13">
        <v>45992</v>
      </c>
      <c r="H70" t="s">
        <v>302</v>
      </c>
      <c r="I70">
        <v>8.3000000000000007</v>
      </c>
      <c r="J70">
        <v>0.9</v>
      </c>
      <c r="K70">
        <v>16</v>
      </c>
      <c r="L70">
        <v>9</v>
      </c>
      <c r="M70">
        <v>15</v>
      </c>
      <c r="N70" s="14">
        <v>1.0667</v>
      </c>
      <c r="O70">
        <v>81786</v>
      </c>
      <c r="P70" t="s">
        <v>303</v>
      </c>
      <c r="Q70">
        <v>5</v>
      </c>
      <c r="R70" t="s">
        <v>304</v>
      </c>
    </row>
    <row r="71" spans="1:18" x14ac:dyDescent="0.3">
      <c r="A71" t="s">
        <v>97</v>
      </c>
      <c r="B71" t="s">
        <v>341</v>
      </c>
      <c r="C71" t="s">
        <v>17</v>
      </c>
      <c r="D71" t="s">
        <v>342</v>
      </c>
      <c r="E71" t="s">
        <v>328</v>
      </c>
      <c r="F71" s="13">
        <v>46041</v>
      </c>
      <c r="G71" s="13">
        <v>46023</v>
      </c>
      <c r="H71" t="s">
        <v>302</v>
      </c>
      <c r="I71">
        <v>8.1999999999999993</v>
      </c>
      <c r="J71">
        <v>0.6</v>
      </c>
      <c r="K71">
        <v>16</v>
      </c>
      <c r="L71">
        <v>10</v>
      </c>
      <c r="M71">
        <v>15</v>
      </c>
      <c r="N71" s="14">
        <v>1.0667</v>
      </c>
      <c r="O71">
        <v>81786</v>
      </c>
      <c r="P71" t="s">
        <v>303</v>
      </c>
      <c r="Q71">
        <v>5</v>
      </c>
      <c r="R71" t="s">
        <v>318</v>
      </c>
    </row>
    <row r="72" spans="1:18" x14ac:dyDescent="0.3">
      <c r="A72" t="s">
        <v>97</v>
      </c>
      <c r="B72" t="s">
        <v>341</v>
      </c>
      <c r="C72" t="s">
        <v>17</v>
      </c>
      <c r="D72" t="s">
        <v>342</v>
      </c>
      <c r="E72" t="s">
        <v>328</v>
      </c>
      <c r="F72" s="13">
        <v>46062</v>
      </c>
      <c r="G72" s="13">
        <v>46054</v>
      </c>
      <c r="H72" t="s">
        <v>302</v>
      </c>
      <c r="I72">
        <v>9.1</v>
      </c>
      <c r="J72">
        <v>0.8</v>
      </c>
      <c r="K72">
        <v>15</v>
      </c>
      <c r="L72">
        <v>9</v>
      </c>
      <c r="M72">
        <v>15</v>
      </c>
      <c r="N72" s="14">
        <v>1</v>
      </c>
      <c r="O72">
        <v>81786</v>
      </c>
      <c r="P72" t="s">
        <v>303</v>
      </c>
      <c r="Q72">
        <v>5</v>
      </c>
    </row>
    <row r="73" spans="1:18" x14ac:dyDescent="0.3">
      <c r="A73" t="s">
        <v>97</v>
      </c>
      <c r="B73" t="s">
        <v>341</v>
      </c>
      <c r="C73" t="s">
        <v>17</v>
      </c>
      <c r="D73" t="s">
        <v>342</v>
      </c>
      <c r="E73" t="s">
        <v>328</v>
      </c>
      <c r="F73" s="13">
        <v>46092</v>
      </c>
      <c r="G73" s="13">
        <v>46082</v>
      </c>
      <c r="H73" t="s">
        <v>302</v>
      </c>
      <c r="I73">
        <v>8.1999999999999993</v>
      </c>
      <c r="J73">
        <v>0.9</v>
      </c>
      <c r="K73">
        <v>14</v>
      </c>
      <c r="L73">
        <v>7</v>
      </c>
      <c r="M73">
        <v>15</v>
      </c>
      <c r="N73" s="14">
        <v>0.93330000000000002</v>
      </c>
      <c r="O73">
        <v>81786</v>
      </c>
      <c r="P73" t="s">
        <v>306</v>
      </c>
      <c r="Q73">
        <v>5</v>
      </c>
      <c r="R73" t="s">
        <v>307</v>
      </c>
    </row>
    <row r="74" spans="1:18" x14ac:dyDescent="0.3">
      <c r="A74" t="s">
        <v>99</v>
      </c>
      <c r="B74" t="s">
        <v>343</v>
      </c>
      <c r="C74" t="s">
        <v>17</v>
      </c>
      <c r="D74" t="s">
        <v>75</v>
      </c>
      <c r="E74" t="s">
        <v>331</v>
      </c>
      <c r="F74" s="13">
        <v>45996</v>
      </c>
      <c r="G74" s="13">
        <v>45992</v>
      </c>
      <c r="H74" t="s">
        <v>302</v>
      </c>
      <c r="I74">
        <v>7.7</v>
      </c>
      <c r="J74">
        <v>0</v>
      </c>
      <c r="K74">
        <v>23</v>
      </c>
      <c r="L74">
        <v>10</v>
      </c>
      <c r="M74">
        <v>22</v>
      </c>
      <c r="N74" s="14">
        <v>1.0455000000000001</v>
      </c>
      <c r="O74">
        <v>54799</v>
      </c>
      <c r="P74" t="s">
        <v>303</v>
      </c>
      <c r="Q74">
        <v>5</v>
      </c>
      <c r="R74" t="s">
        <v>312</v>
      </c>
    </row>
    <row r="75" spans="1:18" x14ac:dyDescent="0.3">
      <c r="A75" t="s">
        <v>99</v>
      </c>
      <c r="B75" t="s">
        <v>343</v>
      </c>
      <c r="C75" t="s">
        <v>17</v>
      </c>
      <c r="D75" t="s">
        <v>75</v>
      </c>
      <c r="E75" t="s">
        <v>331</v>
      </c>
      <c r="F75" s="13">
        <v>46037</v>
      </c>
      <c r="G75" s="13">
        <v>46023</v>
      </c>
      <c r="H75" t="s">
        <v>302</v>
      </c>
      <c r="I75">
        <v>8.6999999999999993</v>
      </c>
      <c r="J75">
        <v>0.8</v>
      </c>
      <c r="K75">
        <v>15</v>
      </c>
      <c r="L75">
        <v>7</v>
      </c>
      <c r="M75">
        <v>22</v>
      </c>
      <c r="N75" s="14">
        <v>0.68179999999999996</v>
      </c>
      <c r="O75">
        <v>54799</v>
      </c>
      <c r="P75" t="s">
        <v>306</v>
      </c>
      <c r="Q75">
        <v>3</v>
      </c>
    </row>
    <row r="76" spans="1:18" x14ac:dyDescent="0.3">
      <c r="A76" t="s">
        <v>99</v>
      </c>
      <c r="B76" t="s">
        <v>343</v>
      </c>
      <c r="C76" t="s">
        <v>17</v>
      </c>
      <c r="D76" t="s">
        <v>75</v>
      </c>
      <c r="E76" t="s">
        <v>331</v>
      </c>
      <c r="F76" s="13">
        <v>46054</v>
      </c>
      <c r="G76" s="13">
        <v>46054</v>
      </c>
      <c r="H76" t="s">
        <v>302</v>
      </c>
      <c r="I76">
        <v>8.9</v>
      </c>
      <c r="J76">
        <v>0.7</v>
      </c>
      <c r="K76">
        <v>15</v>
      </c>
      <c r="L76">
        <v>6</v>
      </c>
      <c r="M76">
        <v>22</v>
      </c>
      <c r="N76" s="14">
        <v>0.68179999999999996</v>
      </c>
      <c r="O76">
        <v>54799</v>
      </c>
      <c r="P76" t="s">
        <v>306</v>
      </c>
      <c r="Q76">
        <v>3</v>
      </c>
      <c r="R76" t="s">
        <v>321</v>
      </c>
    </row>
    <row r="77" spans="1:18" x14ac:dyDescent="0.3">
      <c r="A77" t="s">
        <v>99</v>
      </c>
      <c r="B77" t="s">
        <v>343</v>
      </c>
      <c r="C77" t="s">
        <v>17</v>
      </c>
      <c r="D77" t="s">
        <v>75</v>
      </c>
      <c r="E77" t="s">
        <v>331</v>
      </c>
      <c r="F77" s="13">
        <v>46085</v>
      </c>
      <c r="G77" s="13">
        <v>46082</v>
      </c>
      <c r="H77" t="s">
        <v>302</v>
      </c>
      <c r="I77">
        <v>8</v>
      </c>
      <c r="J77">
        <v>0</v>
      </c>
      <c r="K77">
        <v>20</v>
      </c>
      <c r="L77">
        <v>9</v>
      </c>
      <c r="M77">
        <v>22</v>
      </c>
      <c r="N77" s="14">
        <v>0.90910000000000002</v>
      </c>
      <c r="O77">
        <v>54799</v>
      </c>
      <c r="P77" t="s">
        <v>303</v>
      </c>
      <c r="Q77">
        <v>4</v>
      </c>
      <c r="R77" t="s">
        <v>320</v>
      </c>
    </row>
    <row r="78" spans="1:18" x14ac:dyDescent="0.3">
      <c r="A78" t="s">
        <v>101</v>
      </c>
      <c r="B78" t="s">
        <v>344</v>
      </c>
      <c r="C78" t="s">
        <v>17</v>
      </c>
      <c r="D78" t="s">
        <v>59</v>
      </c>
      <c r="E78" t="s">
        <v>328</v>
      </c>
      <c r="F78" s="13">
        <v>46008</v>
      </c>
      <c r="G78" s="13">
        <v>45992</v>
      </c>
      <c r="H78" t="s">
        <v>302</v>
      </c>
      <c r="I78">
        <v>8</v>
      </c>
      <c r="J78">
        <v>1</v>
      </c>
      <c r="K78">
        <v>13</v>
      </c>
      <c r="L78">
        <v>4</v>
      </c>
      <c r="M78">
        <v>22</v>
      </c>
      <c r="N78" s="14">
        <v>0.59089999999999998</v>
      </c>
      <c r="O78">
        <v>40262</v>
      </c>
      <c r="P78" t="s">
        <v>306</v>
      </c>
      <c r="Q78">
        <v>2</v>
      </c>
      <c r="R78" t="s">
        <v>318</v>
      </c>
    </row>
    <row r="79" spans="1:18" x14ac:dyDescent="0.3">
      <c r="A79" t="s">
        <v>101</v>
      </c>
      <c r="B79" t="s">
        <v>344</v>
      </c>
      <c r="C79" t="s">
        <v>17</v>
      </c>
      <c r="D79" t="s">
        <v>59</v>
      </c>
      <c r="E79" t="s">
        <v>328</v>
      </c>
      <c r="F79" s="13">
        <v>46051</v>
      </c>
      <c r="G79" s="13">
        <v>46023</v>
      </c>
      <c r="H79" t="s">
        <v>302</v>
      </c>
      <c r="I79">
        <v>8.1999999999999993</v>
      </c>
      <c r="J79">
        <v>1.1000000000000001</v>
      </c>
      <c r="K79">
        <v>25</v>
      </c>
      <c r="L79">
        <v>10</v>
      </c>
      <c r="M79">
        <v>22</v>
      </c>
      <c r="N79" s="14">
        <v>1.1364000000000001</v>
      </c>
      <c r="O79">
        <v>40262</v>
      </c>
      <c r="P79" t="s">
        <v>303</v>
      </c>
      <c r="Q79">
        <v>5</v>
      </c>
      <c r="R79" t="s">
        <v>320</v>
      </c>
    </row>
    <row r="80" spans="1:18" x14ac:dyDescent="0.3">
      <c r="A80" t="s">
        <v>101</v>
      </c>
      <c r="B80" t="s">
        <v>344</v>
      </c>
      <c r="C80" t="s">
        <v>17</v>
      </c>
      <c r="D80" t="s">
        <v>59</v>
      </c>
      <c r="E80" t="s">
        <v>328</v>
      </c>
      <c r="F80" s="13">
        <v>46065</v>
      </c>
      <c r="G80" s="13">
        <v>46054</v>
      </c>
      <c r="H80" t="s">
        <v>302</v>
      </c>
      <c r="I80">
        <v>8.3000000000000007</v>
      </c>
      <c r="J80">
        <v>0</v>
      </c>
      <c r="K80">
        <v>19</v>
      </c>
      <c r="L80">
        <v>8</v>
      </c>
      <c r="M80">
        <v>22</v>
      </c>
      <c r="N80" s="14">
        <v>0.86360000000000003</v>
      </c>
      <c r="O80">
        <v>40262</v>
      </c>
      <c r="P80" t="s">
        <v>306</v>
      </c>
      <c r="Q80">
        <v>4</v>
      </c>
      <c r="R80" t="s">
        <v>315</v>
      </c>
    </row>
    <row r="81" spans="1:18" x14ac:dyDescent="0.3">
      <c r="A81" t="s">
        <v>101</v>
      </c>
      <c r="B81" t="s">
        <v>344</v>
      </c>
      <c r="C81" t="s">
        <v>17</v>
      </c>
      <c r="D81" t="s">
        <v>59</v>
      </c>
      <c r="E81" t="s">
        <v>328</v>
      </c>
      <c r="F81" s="13">
        <v>46108</v>
      </c>
      <c r="G81" s="13">
        <v>46082</v>
      </c>
      <c r="H81" t="s">
        <v>302</v>
      </c>
      <c r="I81">
        <v>7.8</v>
      </c>
      <c r="J81">
        <v>1.3</v>
      </c>
      <c r="K81">
        <v>25</v>
      </c>
      <c r="L81">
        <v>10</v>
      </c>
      <c r="M81">
        <v>22</v>
      </c>
      <c r="N81" s="14">
        <v>1.1364000000000001</v>
      </c>
      <c r="O81">
        <v>40262</v>
      </c>
      <c r="P81" t="s">
        <v>303</v>
      </c>
      <c r="Q81">
        <v>5</v>
      </c>
      <c r="R81" t="s">
        <v>312</v>
      </c>
    </row>
    <row r="82" spans="1:18" x14ac:dyDescent="0.3">
      <c r="A82" t="s">
        <v>103</v>
      </c>
      <c r="B82" t="s">
        <v>345</v>
      </c>
      <c r="C82" t="s">
        <v>19</v>
      </c>
      <c r="D82" t="s">
        <v>346</v>
      </c>
      <c r="E82" t="s">
        <v>331</v>
      </c>
      <c r="F82" s="13">
        <v>46011</v>
      </c>
      <c r="G82" s="13">
        <v>45992</v>
      </c>
      <c r="H82" t="s">
        <v>310</v>
      </c>
      <c r="I82">
        <v>0</v>
      </c>
      <c r="J82">
        <v>0</v>
      </c>
      <c r="K82">
        <v>0</v>
      </c>
      <c r="L82">
        <v>3</v>
      </c>
      <c r="M82">
        <v>22</v>
      </c>
      <c r="N82" s="14">
        <v>0</v>
      </c>
      <c r="O82">
        <v>40881</v>
      </c>
      <c r="P82" t="s">
        <v>306</v>
      </c>
      <c r="Q82">
        <v>1</v>
      </c>
      <c r="R82" t="s">
        <v>304</v>
      </c>
    </row>
    <row r="83" spans="1:18" x14ac:dyDescent="0.3">
      <c r="A83" t="s">
        <v>103</v>
      </c>
      <c r="B83" t="s">
        <v>345</v>
      </c>
      <c r="C83" t="s">
        <v>19</v>
      </c>
      <c r="D83" t="s">
        <v>346</v>
      </c>
      <c r="E83" t="s">
        <v>331</v>
      </c>
      <c r="F83" s="13">
        <v>46039</v>
      </c>
      <c r="G83" s="13">
        <v>46023</v>
      </c>
      <c r="H83" t="s">
        <v>302</v>
      </c>
      <c r="I83">
        <v>8.4</v>
      </c>
      <c r="J83">
        <v>0.8</v>
      </c>
      <c r="K83">
        <v>19</v>
      </c>
      <c r="L83">
        <v>7</v>
      </c>
      <c r="M83">
        <v>22</v>
      </c>
      <c r="N83" s="14">
        <v>0.86360000000000003</v>
      </c>
      <c r="O83">
        <v>40881</v>
      </c>
      <c r="P83" t="s">
        <v>306</v>
      </c>
      <c r="Q83">
        <v>4</v>
      </c>
      <c r="R83" t="s">
        <v>311</v>
      </c>
    </row>
    <row r="84" spans="1:18" x14ac:dyDescent="0.3">
      <c r="A84" t="s">
        <v>103</v>
      </c>
      <c r="B84" t="s">
        <v>345</v>
      </c>
      <c r="C84" t="s">
        <v>19</v>
      </c>
      <c r="D84" t="s">
        <v>346</v>
      </c>
      <c r="E84" t="s">
        <v>331</v>
      </c>
      <c r="F84" s="13">
        <v>46063</v>
      </c>
      <c r="G84" s="13">
        <v>46054</v>
      </c>
      <c r="H84" t="s">
        <v>317</v>
      </c>
      <c r="I84">
        <v>0</v>
      </c>
      <c r="J84">
        <v>0</v>
      </c>
      <c r="K84">
        <v>0</v>
      </c>
      <c r="L84">
        <v>3</v>
      </c>
      <c r="M84">
        <v>22</v>
      </c>
      <c r="N84" s="14">
        <v>0</v>
      </c>
      <c r="O84">
        <v>40881</v>
      </c>
      <c r="P84" t="s">
        <v>306</v>
      </c>
      <c r="Q84">
        <v>2</v>
      </c>
    </row>
    <row r="85" spans="1:18" x14ac:dyDescent="0.3">
      <c r="A85" t="s">
        <v>103</v>
      </c>
      <c r="B85" t="s">
        <v>345</v>
      </c>
      <c r="C85" t="s">
        <v>19</v>
      </c>
      <c r="D85" t="s">
        <v>346</v>
      </c>
      <c r="E85" t="s">
        <v>331</v>
      </c>
      <c r="F85" s="13">
        <v>46112</v>
      </c>
      <c r="G85" s="13">
        <v>46082</v>
      </c>
      <c r="H85" t="s">
        <v>317</v>
      </c>
      <c r="I85">
        <v>0</v>
      </c>
      <c r="J85">
        <v>0</v>
      </c>
      <c r="K85">
        <v>0</v>
      </c>
      <c r="L85">
        <v>3</v>
      </c>
      <c r="M85">
        <v>22</v>
      </c>
      <c r="N85" s="14">
        <v>0</v>
      </c>
      <c r="O85">
        <v>40881</v>
      </c>
      <c r="P85" t="s">
        <v>306</v>
      </c>
      <c r="Q85">
        <v>3</v>
      </c>
      <c r="R85" t="s">
        <v>312</v>
      </c>
    </row>
    <row r="86" spans="1:18" x14ac:dyDescent="0.3">
      <c r="A86" t="s">
        <v>105</v>
      </c>
      <c r="B86" t="s">
        <v>347</v>
      </c>
      <c r="C86" t="s">
        <v>19</v>
      </c>
      <c r="D86" t="s">
        <v>78</v>
      </c>
      <c r="E86" t="s">
        <v>323</v>
      </c>
      <c r="F86" s="13">
        <v>45995</v>
      </c>
      <c r="G86" s="13">
        <v>45992</v>
      </c>
      <c r="H86" t="s">
        <v>317</v>
      </c>
      <c r="I86">
        <v>0</v>
      </c>
      <c r="J86">
        <v>0</v>
      </c>
      <c r="K86">
        <v>0</v>
      </c>
      <c r="L86">
        <v>1</v>
      </c>
      <c r="M86">
        <v>15</v>
      </c>
      <c r="N86" s="14">
        <v>0</v>
      </c>
      <c r="O86">
        <v>73266</v>
      </c>
      <c r="P86" t="s">
        <v>306</v>
      </c>
      <c r="Q86">
        <v>1</v>
      </c>
    </row>
    <row r="87" spans="1:18" x14ac:dyDescent="0.3">
      <c r="A87" t="s">
        <v>105</v>
      </c>
      <c r="B87" t="s">
        <v>347</v>
      </c>
      <c r="C87" t="s">
        <v>19</v>
      </c>
      <c r="D87" t="s">
        <v>78</v>
      </c>
      <c r="E87" t="s">
        <v>323</v>
      </c>
      <c r="F87" s="13">
        <v>46040</v>
      </c>
      <c r="G87" s="13">
        <v>46023</v>
      </c>
      <c r="H87" t="s">
        <v>302</v>
      </c>
      <c r="I87">
        <v>8.4</v>
      </c>
      <c r="J87">
        <v>3</v>
      </c>
      <c r="K87">
        <v>11</v>
      </c>
      <c r="L87">
        <v>6</v>
      </c>
      <c r="M87">
        <v>15</v>
      </c>
      <c r="N87" s="14">
        <v>0.73329999999999995</v>
      </c>
      <c r="O87">
        <v>73266</v>
      </c>
      <c r="P87" t="s">
        <v>306</v>
      </c>
      <c r="Q87">
        <v>3</v>
      </c>
      <c r="R87" t="s">
        <v>312</v>
      </c>
    </row>
    <row r="88" spans="1:18" x14ac:dyDescent="0.3">
      <c r="A88" t="s">
        <v>105</v>
      </c>
      <c r="B88" t="s">
        <v>347</v>
      </c>
      <c r="C88" t="s">
        <v>19</v>
      </c>
      <c r="D88" t="s">
        <v>78</v>
      </c>
      <c r="E88" t="s">
        <v>323</v>
      </c>
      <c r="F88" s="13">
        <v>46073</v>
      </c>
      <c r="G88" s="13">
        <v>46054</v>
      </c>
      <c r="H88" t="s">
        <v>302</v>
      </c>
      <c r="I88">
        <v>7</v>
      </c>
      <c r="J88">
        <v>0.3</v>
      </c>
      <c r="K88">
        <v>11</v>
      </c>
      <c r="L88">
        <v>7</v>
      </c>
      <c r="M88">
        <v>15</v>
      </c>
      <c r="N88" s="14">
        <v>0.73329999999999995</v>
      </c>
      <c r="O88">
        <v>73266</v>
      </c>
      <c r="P88" t="s">
        <v>306</v>
      </c>
      <c r="Q88">
        <v>4</v>
      </c>
      <c r="R88" t="s">
        <v>318</v>
      </c>
    </row>
    <row r="89" spans="1:18" x14ac:dyDescent="0.3">
      <c r="A89" t="s">
        <v>105</v>
      </c>
      <c r="B89" t="s">
        <v>347</v>
      </c>
      <c r="C89" t="s">
        <v>19</v>
      </c>
      <c r="D89" t="s">
        <v>78</v>
      </c>
      <c r="E89" t="s">
        <v>323</v>
      </c>
      <c r="F89" s="13">
        <v>46088</v>
      </c>
      <c r="G89" s="13">
        <v>46082</v>
      </c>
      <c r="H89" t="s">
        <v>305</v>
      </c>
      <c r="I89">
        <v>9.4</v>
      </c>
      <c r="J89">
        <v>1.8</v>
      </c>
      <c r="K89">
        <v>11</v>
      </c>
      <c r="L89">
        <v>6</v>
      </c>
      <c r="M89">
        <v>15</v>
      </c>
      <c r="N89" s="14">
        <v>0.73329999999999995</v>
      </c>
      <c r="O89">
        <v>73266</v>
      </c>
      <c r="P89" t="s">
        <v>306</v>
      </c>
      <c r="Q89">
        <v>3</v>
      </c>
      <c r="R89" t="s">
        <v>312</v>
      </c>
    </row>
    <row r="90" spans="1:18" x14ac:dyDescent="0.3">
      <c r="A90" t="s">
        <v>107</v>
      </c>
      <c r="B90" t="s">
        <v>348</v>
      </c>
      <c r="C90" t="s">
        <v>19</v>
      </c>
      <c r="D90" t="s">
        <v>349</v>
      </c>
      <c r="E90" t="s">
        <v>334</v>
      </c>
      <c r="F90" s="13">
        <v>46008</v>
      </c>
      <c r="G90" s="13">
        <v>45992</v>
      </c>
      <c r="H90" t="s">
        <v>302</v>
      </c>
      <c r="I90">
        <v>7.5</v>
      </c>
      <c r="J90">
        <v>2.6</v>
      </c>
      <c r="K90">
        <v>21</v>
      </c>
      <c r="L90">
        <v>9</v>
      </c>
      <c r="M90">
        <v>20</v>
      </c>
      <c r="N90" s="14">
        <v>1.05</v>
      </c>
      <c r="O90">
        <v>33143</v>
      </c>
      <c r="P90" t="s">
        <v>303</v>
      </c>
      <c r="Q90">
        <v>3</v>
      </c>
    </row>
    <row r="91" spans="1:18" x14ac:dyDescent="0.3">
      <c r="A91" t="s">
        <v>107</v>
      </c>
      <c r="B91" t="s">
        <v>348</v>
      </c>
      <c r="C91" t="s">
        <v>19</v>
      </c>
      <c r="D91" t="s">
        <v>349</v>
      </c>
      <c r="E91" t="s">
        <v>334</v>
      </c>
      <c r="F91" s="13">
        <v>46025</v>
      </c>
      <c r="G91" s="13">
        <v>46023</v>
      </c>
      <c r="H91" t="s">
        <v>302</v>
      </c>
      <c r="I91">
        <v>9.1</v>
      </c>
      <c r="J91">
        <v>0.7</v>
      </c>
      <c r="K91">
        <v>21</v>
      </c>
      <c r="L91">
        <v>7</v>
      </c>
      <c r="M91">
        <v>20</v>
      </c>
      <c r="N91" s="14">
        <v>1.05</v>
      </c>
      <c r="O91">
        <v>33143</v>
      </c>
      <c r="P91" t="s">
        <v>306</v>
      </c>
      <c r="Q91">
        <v>3</v>
      </c>
      <c r="R91" t="s">
        <v>312</v>
      </c>
    </row>
    <row r="92" spans="1:18" x14ac:dyDescent="0.3">
      <c r="A92" t="s">
        <v>107</v>
      </c>
      <c r="B92" t="s">
        <v>348</v>
      </c>
      <c r="C92" t="s">
        <v>19</v>
      </c>
      <c r="D92" t="s">
        <v>349</v>
      </c>
      <c r="E92" t="s">
        <v>334</v>
      </c>
      <c r="F92" s="13">
        <v>46055</v>
      </c>
      <c r="G92" s="13">
        <v>46054</v>
      </c>
      <c r="H92" t="s">
        <v>302</v>
      </c>
      <c r="I92">
        <v>8.3000000000000007</v>
      </c>
      <c r="J92">
        <v>0.8</v>
      </c>
      <c r="K92">
        <v>15</v>
      </c>
      <c r="L92">
        <v>8</v>
      </c>
      <c r="M92">
        <v>20</v>
      </c>
      <c r="N92" s="14">
        <v>0.75</v>
      </c>
      <c r="O92">
        <v>33143</v>
      </c>
      <c r="P92" t="s">
        <v>306</v>
      </c>
      <c r="Q92">
        <v>3</v>
      </c>
    </row>
    <row r="93" spans="1:18" x14ac:dyDescent="0.3">
      <c r="A93" t="s">
        <v>107</v>
      </c>
      <c r="B93" t="s">
        <v>348</v>
      </c>
      <c r="C93" t="s">
        <v>19</v>
      </c>
      <c r="D93" t="s">
        <v>349</v>
      </c>
      <c r="E93" t="s">
        <v>334</v>
      </c>
      <c r="F93" s="13">
        <v>46102</v>
      </c>
      <c r="G93" s="13">
        <v>46082</v>
      </c>
      <c r="H93" t="s">
        <v>310</v>
      </c>
      <c r="I93">
        <v>0</v>
      </c>
      <c r="J93">
        <v>0</v>
      </c>
      <c r="K93">
        <v>0</v>
      </c>
      <c r="L93">
        <v>2</v>
      </c>
      <c r="M93">
        <v>20</v>
      </c>
      <c r="N93" s="14">
        <v>0</v>
      </c>
      <c r="O93">
        <v>33143</v>
      </c>
      <c r="P93" t="s">
        <v>306</v>
      </c>
      <c r="Q93">
        <v>1</v>
      </c>
    </row>
    <row r="94" spans="1:18" x14ac:dyDescent="0.3">
      <c r="A94" t="s">
        <v>109</v>
      </c>
      <c r="B94" t="s">
        <v>350</v>
      </c>
      <c r="C94" t="s">
        <v>19</v>
      </c>
      <c r="D94" t="s">
        <v>346</v>
      </c>
      <c r="E94" t="s">
        <v>331</v>
      </c>
      <c r="F94" s="13">
        <v>46015</v>
      </c>
      <c r="G94" s="13">
        <v>45992</v>
      </c>
      <c r="H94" t="s">
        <v>302</v>
      </c>
      <c r="I94">
        <v>8.6</v>
      </c>
      <c r="J94">
        <v>1.5</v>
      </c>
      <c r="K94">
        <v>16</v>
      </c>
      <c r="L94">
        <v>4</v>
      </c>
      <c r="M94">
        <v>25</v>
      </c>
      <c r="N94" s="14">
        <v>0.64</v>
      </c>
      <c r="O94">
        <v>38509</v>
      </c>
      <c r="P94" t="s">
        <v>306</v>
      </c>
      <c r="Q94">
        <v>3</v>
      </c>
    </row>
    <row r="95" spans="1:18" x14ac:dyDescent="0.3">
      <c r="A95" t="s">
        <v>109</v>
      </c>
      <c r="B95" t="s">
        <v>350</v>
      </c>
      <c r="C95" t="s">
        <v>19</v>
      </c>
      <c r="D95" t="s">
        <v>346</v>
      </c>
      <c r="E95" t="s">
        <v>331</v>
      </c>
      <c r="F95" s="13">
        <v>46036</v>
      </c>
      <c r="G95" s="13">
        <v>46023</v>
      </c>
      <c r="H95" t="s">
        <v>302</v>
      </c>
      <c r="I95">
        <v>8.5</v>
      </c>
      <c r="J95">
        <v>0.1</v>
      </c>
      <c r="K95">
        <v>28</v>
      </c>
      <c r="L95">
        <v>10</v>
      </c>
      <c r="M95">
        <v>25</v>
      </c>
      <c r="N95" s="14">
        <v>1.1200000000000001</v>
      </c>
      <c r="O95">
        <v>38509</v>
      </c>
      <c r="P95" t="s">
        <v>303</v>
      </c>
      <c r="Q95">
        <v>5</v>
      </c>
    </row>
    <row r="96" spans="1:18" x14ac:dyDescent="0.3">
      <c r="A96" t="s">
        <v>109</v>
      </c>
      <c r="B96" t="s">
        <v>350</v>
      </c>
      <c r="C96" t="s">
        <v>19</v>
      </c>
      <c r="D96" t="s">
        <v>346</v>
      </c>
      <c r="E96" t="s">
        <v>331</v>
      </c>
      <c r="F96" s="13">
        <v>46056</v>
      </c>
      <c r="G96" s="13">
        <v>46054</v>
      </c>
      <c r="H96" t="s">
        <v>317</v>
      </c>
      <c r="I96">
        <v>0</v>
      </c>
      <c r="J96">
        <v>0</v>
      </c>
      <c r="K96">
        <v>0</v>
      </c>
      <c r="L96">
        <v>2</v>
      </c>
      <c r="M96">
        <v>25</v>
      </c>
      <c r="N96" s="14">
        <v>0</v>
      </c>
      <c r="O96">
        <v>38509</v>
      </c>
      <c r="P96" t="s">
        <v>306</v>
      </c>
      <c r="Q96">
        <v>2</v>
      </c>
    </row>
    <row r="97" spans="1:18" x14ac:dyDescent="0.3">
      <c r="A97" t="s">
        <v>109</v>
      </c>
      <c r="B97" t="s">
        <v>350</v>
      </c>
      <c r="C97" t="s">
        <v>19</v>
      </c>
      <c r="D97" t="s">
        <v>346</v>
      </c>
      <c r="E97" t="s">
        <v>331</v>
      </c>
      <c r="F97" s="13">
        <v>46110</v>
      </c>
      <c r="G97" s="13">
        <v>46082</v>
      </c>
      <c r="H97" t="s">
        <v>302</v>
      </c>
      <c r="I97">
        <v>9.4</v>
      </c>
      <c r="J97">
        <v>0.6</v>
      </c>
      <c r="K97">
        <v>26</v>
      </c>
      <c r="L97">
        <v>10</v>
      </c>
      <c r="M97">
        <v>25</v>
      </c>
      <c r="N97" s="14">
        <v>1.04</v>
      </c>
      <c r="O97">
        <v>38509</v>
      </c>
      <c r="P97" t="s">
        <v>303</v>
      </c>
      <c r="Q97">
        <v>5</v>
      </c>
    </row>
    <row r="98" spans="1:18" x14ac:dyDescent="0.3">
      <c r="A98" t="s">
        <v>111</v>
      </c>
      <c r="B98" t="s">
        <v>351</v>
      </c>
      <c r="C98" t="s">
        <v>19</v>
      </c>
      <c r="D98" t="s">
        <v>78</v>
      </c>
      <c r="E98" t="s">
        <v>328</v>
      </c>
      <c r="F98" s="13">
        <v>46018</v>
      </c>
      <c r="G98" s="13">
        <v>45992</v>
      </c>
      <c r="H98" t="s">
        <v>302</v>
      </c>
      <c r="I98">
        <v>7.7</v>
      </c>
      <c r="J98">
        <v>1.5</v>
      </c>
      <c r="K98">
        <v>16</v>
      </c>
      <c r="L98">
        <v>7</v>
      </c>
      <c r="M98">
        <v>15</v>
      </c>
      <c r="N98" s="14">
        <v>1.0667</v>
      </c>
      <c r="O98">
        <v>72174</v>
      </c>
      <c r="P98" t="s">
        <v>306</v>
      </c>
      <c r="Q98">
        <v>3</v>
      </c>
      <c r="R98" t="s">
        <v>311</v>
      </c>
    </row>
    <row r="99" spans="1:18" x14ac:dyDescent="0.3">
      <c r="A99" t="s">
        <v>111</v>
      </c>
      <c r="B99" t="s">
        <v>351</v>
      </c>
      <c r="C99" t="s">
        <v>19</v>
      </c>
      <c r="D99" t="s">
        <v>78</v>
      </c>
      <c r="E99" t="s">
        <v>328</v>
      </c>
      <c r="F99" s="13">
        <v>46027</v>
      </c>
      <c r="G99" s="13">
        <v>46023</v>
      </c>
      <c r="H99" t="s">
        <v>302</v>
      </c>
      <c r="I99">
        <v>7.1</v>
      </c>
      <c r="J99">
        <v>0.5</v>
      </c>
      <c r="K99">
        <v>15</v>
      </c>
      <c r="L99">
        <v>10</v>
      </c>
      <c r="M99">
        <v>15</v>
      </c>
      <c r="N99" s="14">
        <v>1</v>
      </c>
      <c r="O99">
        <v>72174</v>
      </c>
      <c r="P99" t="s">
        <v>303</v>
      </c>
      <c r="Q99">
        <v>5</v>
      </c>
    </row>
    <row r="100" spans="1:18" x14ac:dyDescent="0.3">
      <c r="A100" t="s">
        <v>111</v>
      </c>
      <c r="B100" t="s">
        <v>351</v>
      </c>
      <c r="C100" t="s">
        <v>19</v>
      </c>
      <c r="D100" t="s">
        <v>78</v>
      </c>
      <c r="E100" t="s">
        <v>328</v>
      </c>
      <c r="F100" s="13">
        <v>46063</v>
      </c>
      <c r="G100" s="13">
        <v>46054</v>
      </c>
      <c r="H100" t="s">
        <v>302</v>
      </c>
      <c r="I100">
        <v>9.3000000000000007</v>
      </c>
      <c r="J100">
        <v>0</v>
      </c>
      <c r="K100">
        <v>8</v>
      </c>
      <c r="L100">
        <v>6</v>
      </c>
      <c r="M100">
        <v>15</v>
      </c>
      <c r="N100" s="14">
        <v>0.5333</v>
      </c>
      <c r="O100">
        <v>72174</v>
      </c>
      <c r="P100" t="s">
        <v>306</v>
      </c>
      <c r="Q100">
        <v>3</v>
      </c>
    </row>
    <row r="101" spans="1:18" x14ac:dyDescent="0.3">
      <c r="A101" t="s">
        <v>111</v>
      </c>
      <c r="B101" t="s">
        <v>351</v>
      </c>
      <c r="C101" t="s">
        <v>19</v>
      </c>
      <c r="D101" t="s">
        <v>78</v>
      </c>
      <c r="E101" t="s">
        <v>328</v>
      </c>
      <c r="F101" s="13">
        <v>46110</v>
      </c>
      <c r="G101" s="13">
        <v>46082</v>
      </c>
      <c r="H101" t="s">
        <v>302</v>
      </c>
      <c r="I101">
        <v>8.3000000000000007</v>
      </c>
      <c r="J101">
        <v>0</v>
      </c>
      <c r="K101">
        <v>13</v>
      </c>
      <c r="L101">
        <v>6</v>
      </c>
      <c r="M101">
        <v>15</v>
      </c>
      <c r="N101" s="14">
        <v>0.86670000000000003</v>
      </c>
      <c r="O101">
        <v>72174</v>
      </c>
      <c r="P101" t="s">
        <v>306</v>
      </c>
      <c r="Q101">
        <v>3</v>
      </c>
      <c r="R101" t="s">
        <v>304</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5D0DC-ED83-40A8-B402-58FC957EDEA0}">
  <sheetPr codeName="Sheet9"/>
  <dimension ref="B2:O104"/>
  <sheetViews>
    <sheetView tabSelected="1" workbookViewId="0">
      <selection activeCell="E4" sqref="E4"/>
    </sheetView>
  </sheetViews>
  <sheetFormatPr defaultRowHeight="14.4" x14ac:dyDescent="0.3"/>
  <cols>
    <col min="2" max="2" width="14.6640625" customWidth="1"/>
    <col min="3" max="3" width="15.77734375" bestFit="1" customWidth="1"/>
    <col min="4" max="4" width="10" bestFit="1" customWidth="1"/>
    <col min="5" max="5" width="18.44140625" bestFit="1" customWidth="1"/>
    <col min="6" max="6" width="13.5546875" bestFit="1" customWidth="1"/>
    <col min="7" max="7" width="8.5546875" style="14" bestFit="1" customWidth="1"/>
    <col min="15" max="15" width="15.33203125" bestFit="1" customWidth="1"/>
  </cols>
  <sheetData>
    <row r="2" spans="2:15" x14ac:dyDescent="0.3">
      <c r="B2" s="19"/>
    </row>
    <row r="4" spans="2:15" ht="27.6" x14ac:dyDescent="0.3">
      <c r="B4" s="18" t="s">
        <v>20</v>
      </c>
      <c r="C4" s="18" t="s">
        <v>21</v>
      </c>
      <c r="D4" s="18" t="s">
        <v>25</v>
      </c>
      <c r="E4" s="18" t="s">
        <v>26</v>
      </c>
      <c r="F4" s="18" t="s">
        <v>27</v>
      </c>
      <c r="G4" s="23" t="s">
        <v>368</v>
      </c>
      <c r="H4" s="18" t="s">
        <v>369</v>
      </c>
      <c r="I4" s="18" t="s">
        <v>370</v>
      </c>
      <c r="J4" s="18" t="s">
        <v>371</v>
      </c>
      <c r="K4" s="18" t="s">
        <v>372</v>
      </c>
      <c r="L4" s="18" t="s">
        <v>373</v>
      </c>
      <c r="M4" s="18" t="s">
        <v>374</v>
      </c>
      <c r="N4" s="18" t="s">
        <v>375</v>
      </c>
      <c r="O4" s="18" t="s">
        <v>376</v>
      </c>
    </row>
    <row r="5" spans="2:15" x14ac:dyDescent="0.3">
      <c r="B5" t="str">
        <f>Employees!A2</f>
        <v>EMP001</v>
      </c>
      <c r="C5" t="str">
        <f>Employees!B2</f>
        <v>Liam Smith</v>
      </c>
      <c r="D5" t="str">
        <f>Employees!F2</f>
        <v>IT</v>
      </c>
      <c r="E5" t="str">
        <f>Employees!G2</f>
        <v>Software Engineer</v>
      </c>
      <c r="F5" t="str">
        <f>Employees!H2</f>
        <v>Manish Sharma</v>
      </c>
      <c r="G5" s="14">
        <f>Attendance!G2</f>
        <v>1</v>
      </c>
      <c r="H5">
        <f>IF(OR(Attendance!C2="P",Attendance!C2="WFH"),1,0)</f>
        <v>1</v>
      </c>
      <c r="I5">
        <f>IF(Attendance!C2="A",1,0)</f>
        <v>0</v>
      </c>
      <c r="J5">
        <f>0</f>
        <v>0</v>
      </c>
      <c r="K5">
        <f>Attendance!F2</f>
        <v>0</v>
      </c>
      <c r="L5">
        <f>VLOOKUP(B5,Performance!$A:$L,12,FALSE)</f>
        <v>4</v>
      </c>
      <c r="M5" t="str">
        <f>IF(G5&lt;90%,"LOW","OK")</f>
        <v>OK</v>
      </c>
      <c r="N5" t="str">
        <f>IF(L5&lt;3,"LOW","OK")</f>
        <v>OK</v>
      </c>
      <c r="O5" t="str">
        <f>IF(AND(G5&lt;90%,L5&lt;3),"High Risk",IF(G5&lt;90%,"Attendance Risk",IF(L5&lt;3,"Performance Risk","OK")))</f>
        <v>OK</v>
      </c>
    </row>
    <row r="6" spans="2:15" x14ac:dyDescent="0.3">
      <c r="B6" t="str">
        <f>Employees!A3</f>
        <v>EMP002</v>
      </c>
      <c r="C6" t="str">
        <f>Employees!B3</f>
        <v>Emma Smith</v>
      </c>
      <c r="D6" t="str">
        <f>Employees!F3</f>
        <v>HR</v>
      </c>
      <c r="E6" t="str">
        <f>Employees!G3</f>
        <v>HR Executive</v>
      </c>
      <c r="F6" t="str">
        <f>Employees!H3</f>
        <v>Anita Desai</v>
      </c>
      <c r="G6" s="14">
        <f>Attendance!G3</f>
        <v>1</v>
      </c>
      <c r="H6">
        <f>IF(OR(Attendance!C3="P",Attendance!C3="WFH"),1,0)</f>
        <v>1</v>
      </c>
      <c r="I6">
        <f>IF(Attendance!C3="A",1,0)</f>
        <v>0</v>
      </c>
      <c r="J6">
        <f>0</f>
        <v>0</v>
      </c>
      <c r="K6">
        <f>Attendance!F3</f>
        <v>0.5</v>
      </c>
      <c r="L6">
        <f>VLOOKUP(B6,Performance!$A:$L,12,FALSE)</f>
        <v>4.88</v>
      </c>
      <c r="M6" t="str">
        <f t="shared" ref="M6:M69" si="0">IF(G6&lt;90%,"LOW","OK")</f>
        <v>OK</v>
      </c>
      <c r="N6" t="str">
        <f t="shared" ref="N6:N69" si="1">IF(L6&lt;3,"LOW","OK")</f>
        <v>OK</v>
      </c>
      <c r="O6" t="str">
        <f t="shared" ref="O6:O69" si="2">IF(AND(G6&lt;90%,L6&lt;3),"High Risk",IF(G6&lt;90%,"Attendance Risk",IF(L6&lt;3,"Performance Risk","OK")))</f>
        <v>OK</v>
      </c>
    </row>
    <row r="7" spans="2:15" x14ac:dyDescent="0.3">
      <c r="B7" t="str">
        <f>Employees!A4</f>
        <v>EMP003</v>
      </c>
      <c r="C7" t="str">
        <f>Employees!B4</f>
        <v>Noah Smith</v>
      </c>
      <c r="D7" t="str">
        <f>Employees!F4</f>
        <v>Finance</v>
      </c>
      <c r="E7" t="str">
        <f>Employees!G4</f>
        <v>Accountant</v>
      </c>
      <c r="F7" t="str">
        <f>Employees!H4</f>
        <v>Suresh Kumar</v>
      </c>
      <c r="G7" s="14">
        <f>Attendance!G4</f>
        <v>0</v>
      </c>
      <c r="H7">
        <f>IF(OR(Attendance!C4="P",Attendance!C4="WFH"),1,0)</f>
        <v>0</v>
      </c>
      <c r="I7">
        <f>IF(Attendance!C4="A",1,0)</f>
        <v>1</v>
      </c>
      <c r="J7">
        <f>0</f>
        <v>0</v>
      </c>
      <c r="K7">
        <f>Attendance!F4</f>
        <v>0</v>
      </c>
      <c r="L7">
        <f>VLOOKUP(B7,Performance!$A:$L,12,FALSE)</f>
        <v>3.12</v>
      </c>
      <c r="M7" t="str">
        <f t="shared" si="0"/>
        <v>LOW</v>
      </c>
      <c r="N7" t="str">
        <f t="shared" si="1"/>
        <v>OK</v>
      </c>
      <c r="O7" t="str">
        <f t="shared" si="2"/>
        <v>Attendance Risk</v>
      </c>
    </row>
    <row r="8" spans="2:15" x14ac:dyDescent="0.3">
      <c r="B8" t="str">
        <f>Employees!A5</f>
        <v>EMP004</v>
      </c>
      <c r="C8" t="str">
        <f>Employees!B5</f>
        <v>Olivia Smith</v>
      </c>
      <c r="D8" t="str">
        <f>Employees!F5</f>
        <v>Operations</v>
      </c>
      <c r="E8" t="str">
        <f>Employees!G5</f>
        <v>Operations Associate</v>
      </c>
      <c r="F8" t="str">
        <f>Employees!H5</f>
        <v>Meera Nair</v>
      </c>
      <c r="G8" s="14">
        <f>Attendance!G5</f>
        <v>1</v>
      </c>
      <c r="H8">
        <f>IF(OR(Attendance!C5="P",Attendance!C5="WFH"),1,0)</f>
        <v>1</v>
      </c>
      <c r="I8">
        <f>IF(Attendance!C5="A",1,0)</f>
        <v>0</v>
      </c>
      <c r="J8">
        <f>0</f>
        <v>0</v>
      </c>
      <c r="K8">
        <f>Attendance!F5</f>
        <v>0</v>
      </c>
      <c r="L8">
        <f>VLOOKUP(B8,Performance!$A:$L,12,FALSE)</f>
        <v>4</v>
      </c>
      <c r="M8" t="str">
        <f t="shared" si="0"/>
        <v>OK</v>
      </c>
      <c r="N8" t="str">
        <f t="shared" si="1"/>
        <v>OK</v>
      </c>
      <c r="O8" t="str">
        <f t="shared" si="2"/>
        <v>OK</v>
      </c>
    </row>
    <row r="9" spans="2:15" x14ac:dyDescent="0.3">
      <c r="B9" t="str">
        <f>Employees!A6</f>
        <v>EMP005</v>
      </c>
      <c r="C9" t="str">
        <f>Employees!B6</f>
        <v>Oliver Smith</v>
      </c>
      <c r="D9" t="str">
        <f>Employees!F6</f>
        <v>IT</v>
      </c>
      <c r="E9" t="str">
        <f>Employees!G6</f>
        <v>Team Lead</v>
      </c>
      <c r="F9" t="str">
        <f>Employees!H6</f>
        <v>Manish Sharma</v>
      </c>
      <c r="G9" s="14">
        <f>Attendance!G6</f>
        <v>1</v>
      </c>
      <c r="H9">
        <f>IF(OR(Attendance!C6="P",Attendance!C6="WFH"),1,0)</f>
        <v>1</v>
      </c>
      <c r="I9">
        <f>IF(Attendance!C6="A",1,0)</f>
        <v>0</v>
      </c>
      <c r="J9">
        <f>0</f>
        <v>0</v>
      </c>
      <c r="K9">
        <f>Attendance!F6</f>
        <v>0</v>
      </c>
      <c r="L9">
        <f>VLOOKUP(B9,Performance!$A:$L,12,FALSE)</f>
        <v>2.34</v>
      </c>
      <c r="M9" t="str">
        <f t="shared" si="0"/>
        <v>OK</v>
      </c>
      <c r="N9" t="str">
        <f t="shared" si="1"/>
        <v>LOW</v>
      </c>
      <c r="O9" t="str">
        <f t="shared" si="2"/>
        <v>Performance Risk</v>
      </c>
    </row>
    <row r="10" spans="2:15" x14ac:dyDescent="0.3">
      <c r="B10" t="str">
        <f>Employees!A7</f>
        <v>EMP006</v>
      </c>
      <c r="C10" t="str">
        <f>Employees!B7</f>
        <v>Ava Smith</v>
      </c>
      <c r="D10" t="str">
        <f>Employees!F7</f>
        <v>HR</v>
      </c>
      <c r="E10" t="str">
        <f>Employees!G7</f>
        <v>HR Manager</v>
      </c>
      <c r="F10" t="str">
        <f>Employees!H7</f>
        <v>Anita Desai</v>
      </c>
      <c r="G10" s="14">
        <f>Attendance!G7</f>
        <v>1</v>
      </c>
      <c r="H10">
        <f>IF(OR(Attendance!C7="P",Attendance!C7="WFH"),1,0)</f>
        <v>1</v>
      </c>
      <c r="I10">
        <f>IF(Attendance!C7="A",1,0)</f>
        <v>0</v>
      </c>
      <c r="J10">
        <f>0</f>
        <v>0</v>
      </c>
      <c r="K10">
        <f>Attendance!F7</f>
        <v>0</v>
      </c>
      <c r="L10">
        <f>VLOOKUP(B10,Performance!$A:$L,12,FALSE)</f>
        <v>4.66</v>
      </c>
      <c r="M10" t="str">
        <f t="shared" si="0"/>
        <v>OK</v>
      </c>
      <c r="N10" t="str">
        <f t="shared" si="1"/>
        <v>OK</v>
      </c>
      <c r="O10" t="str">
        <f t="shared" si="2"/>
        <v>OK</v>
      </c>
    </row>
    <row r="11" spans="2:15" x14ac:dyDescent="0.3">
      <c r="B11" t="str">
        <f>Employees!A8</f>
        <v>EMP007</v>
      </c>
      <c r="C11" t="str">
        <f>Employees!B8</f>
        <v>Elijah Smith</v>
      </c>
      <c r="D11" t="str">
        <f>Employees!F8</f>
        <v>Finance</v>
      </c>
      <c r="E11" t="str">
        <f>Employees!G8</f>
        <v>Financial Analyst</v>
      </c>
      <c r="F11" t="str">
        <f>Employees!H8</f>
        <v>Suresh Kumar</v>
      </c>
      <c r="G11" s="14">
        <f>Attendance!G8</f>
        <v>1</v>
      </c>
      <c r="H11">
        <f>IF(OR(Attendance!C8="P",Attendance!C8="WFH"),1,0)</f>
        <v>1</v>
      </c>
      <c r="I11">
        <f>IF(Attendance!C8="A",1,0)</f>
        <v>0</v>
      </c>
      <c r="J11">
        <f>0</f>
        <v>0</v>
      </c>
      <c r="K11">
        <f>Attendance!F8</f>
        <v>1</v>
      </c>
      <c r="L11">
        <f>VLOOKUP(B11,Performance!$A:$L,12,FALSE)</f>
        <v>3.78</v>
      </c>
      <c r="M11" t="str">
        <f t="shared" si="0"/>
        <v>OK</v>
      </c>
      <c r="N11" t="str">
        <f t="shared" si="1"/>
        <v>OK</v>
      </c>
      <c r="O11" t="str">
        <f t="shared" si="2"/>
        <v>OK</v>
      </c>
    </row>
    <row r="12" spans="2:15" x14ac:dyDescent="0.3">
      <c r="B12" t="str">
        <f>Employees!A9</f>
        <v>EMP008</v>
      </c>
      <c r="C12" t="str">
        <f>Employees!B9</f>
        <v>Sophia Smith</v>
      </c>
      <c r="D12" t="str">
        <f>Employees!F9</f>
        <v>Operations</v>
      </c>
      <c r="E12" t="str">
        <f>Employees!G9</f>
        <v>Operations Manager</v>
      </c>
      <c r="F12" t="str">
        <f>Employees!H9</f>
        <v>Meera Nair</v>
      </c>
      <c r="G12" s="14">
        <f>Attendance!G9</f>
        <v>1</v>
      </c>
      <c r="H12">
        <f>IF(OR(Attendance!C9="P",Attendance!C9="WFH"),1,0)</f>
        <v>1</v>
      </c>
      <c r="I12">
        <f>IF(Attendance!C9="A",1,0)</f>
        <v>0</v>
      </c>
      <c r="J12">
        <f>0</f>
        <v>0</v>
      </c>
      <c r="K12">
        <f>Attendance!F9</f>
        <v>0</v>
      </c>
      <c r="L12">
        <f>VLOOKUP(B12,Performance!$A:$L,12,FALSE)</f>
        <v>3.34</v>
      </c>
      <c r="M12" t="str">
        <f t="shared" si="0"/>
        <v>OK</v>
      </c>
      <c r="N12" t="str">
        <f t="shared" si="1"/>
        <v>OK</v>
      </c>
      <c r="O12" t="str">
        <f t="shared" si="2"/>
        <v>OK</v>
      </c>
    </row>
    <row r="13" spans="2:15" x14ac:dyDescent="0.3">
      <c r="B13" t="str">
        <f>Employees!A10</f>
        <v>EMP009</v>
      </c>
      <c r="C13" t="str">
        <f>Employees!B10</f>
        <v>William Smith</v>
      </c>
      <c r="D13" t="str">
        <f>Employees!F10</f>
        <v>IT</v>
      </c>
      <c r="E13" t="str">
        <f>Employees!G10</f>
        <v>Software Engineer</v>
      </c>
      <c r="F13" t="str">
        <f>Employees!H10</f>
        <v>Manish Sharma</v>
      </c>
      <c r="G13" s="14">
        <f>Attendance!G10</f>
        <v>0</v>
      </c>
      <c r="H13">
        <f>IF(OR(Attendance!C10="P",Attendance!C10="WFH"),1,0)</f>
        <v>0</v>
      </c>
      <c r="I13">
        <f>IF(Attendance!C10="A",1,0)</f>
        <v>0</v>
      </c>
      <c r="J13">
        <f>0</f>
        <v>0</v>
      </c>
      <c r="K13">
        <f>Attendance!F10</f>
        <v>0</v>
      </c>
      <c r="L13">
        <f>VLOOKUP(B13,Performance!$A:$L,12,FALSE)</f>
        <v>4.24</v>
      </c>
      <c r="M13" t="str">
        <f t="shared" si="0"/>
        <v>LOW</v>
      </c>
      <c r="N13" t="str">
        <f t="shared" si="1"/>
        <v>OK</v>
      </c>
      <c r="O13" t="str">
        <f t="shared" si="2"/>
        <v>Attendance Risk</v>
      </c>
    </row>
    <row r="14" spans="2:15" x14ac:dyDescent="0.3">
      <c r="B14" t="str">
        <f>Employees!A11</f>
        <v>EMP010</v>
      </c>
      <c r="C14" t="str">
        <f>Employees!B11</f>
        <v>Isabella Smith</v>
      </c>
      <c r="D14" t="str">
        <f>Employees!F11</f>
        <v>Finance</v>
      </c>
      <c r="E14" t="str">
        <f>Employees!G11</f>
        <v>Accountant</v>
      </c>
      <c r="F14" t="str">
        <f>Employees!H11</f>
        <v>Suresh Kumar</v>
      </c>
      <c r="G14" s="14">
        <f>Attendance!G11</f>
        <v>1</v>
      </c>
      <c r="H14">
        <f>IF(OR(Attendance!C11="P",Attendance!C11="WFH"),1,0)</f>
        <v>1</v>
      </c>
      <c r="I14">
        <f>IF(Attendance!C11="A",1,0)</f>
        <v>0</v>
      </c>
      <c r="J14">
        <f>0</f>
        <v>0</v>
      </c>
      <c r="K14">
        <f>Attendance!F11</f>
        <v>0</v>
      </c>
      <c r="L14">
        <f>VLOOKUP(B14,Performance!$A:$L,12,FALSE)</f>
        <v>4.88</v>
      </c>
      <c r="M14" t="str">
        <f t="shared" si="0"/>
        <v>OK</v>
      </c>
      <c r="N14" t="str">
        <f t="shared" si="1"/>
        <v>OK</v>
      </c>
      <c r="O14" t="str">
        <f t="shared" si="2"/>
        <v>OK</v>
      </c>
    </row>
    <row r="15" spans="2:15" x14ac:dyDescent="0.3">
      <c r="B15" t="str">
        <f>Employees!A12</f>
        <v>EMP011</v>
      </c>
      <c r="C15" t="str">
        <f>Employees!B12</f>
        <v>Liam Johnson</v>
      </c>
      <c r="D15" t="str">
        <f>Employees!F12</f>
        <v>IT</v>
      </c>
      <c r="E15" t="str">
        <f>Employees!G12</f>
        <v>Software Engineer</v>
      </c>
      <c r="F15" t="str">
        <f>Employees!H12</f>
        <v>Manish Sharma</v>
      </c>
      <c r="G15" s="14">
        <f>Attendance!G12</f>
        <v>1</v>
      </c>
      <c r="H15">
        <f>IF(OR(Attendance!C12="P",Attendance!C12="WFH"),1,0)</f>
        <v>1</v>
      </c>
      <c r="I15">
        <f>IF(Attendance!C12="A",1,0)</f>
        <v>0</v>
      </c>
      <c r="J15">
        <f>0</f>
        <v>0</v>
      </c>
      <c r="K15">
        <f>Attendance!F12</f>
        <v>0</v>
      </c>
      <c r="L15">
        <f>VLOOKUP(B15,Performance!$A:$L,12,FALSE)</f>
        <v>2.88</v>
      </c>
      <c r="M15" t="str">
        <f t="shared" si="0"/>
        <v>OK</v>
      </c>
      <c r="N15" t="str">
        <f t="shared" si="1"/>
        <v>LOW</v>
      </c>
      <c r="O15" t="str">
        <f t="shared" si="2"/>
        <v>Performance Risk</v>
      </c>
    </row>
    <row r="16" spans="2:15" x14ac:dyDescent="0.3">
      <c r="B16" t="str">
        <f>Employees!A13</f>
        <v>EMP012</v>
      </c>
      <c r="C16" t="str">
        <f>Employees!B13</f>
        <v>Emma Johnson</v>
      </c>
      <c r="D16" t="str">
        <f>Employees!F13</f>
        <v>HR</v>
      </c>
      <c r="E16" t="str">
        <f>Employees!G13</f>
        <v>HR Executive</v>
      </c>
      <c r="F16" t="str">
        <f>Employees!H13</f>
        <v>Anita Desai</v>
      </c>
      <c r="G16" s="14">
        <f>Attendance!G13</f>
        <v>1</v>
      </c>
      <c r="H16">
        <f>IF(OR(Attendance!C13="P",Attendance!C13="WFH"),1,0)</f>
        <v>1</v>
      </c>
      <c r="I16">
        <f>IF(Attendance!C13="A",1,0)</f>
        <v>0</v>
      </c>
      <c r="J16">
        <f>0</f>
        <v>0</v>
      </c>
      <c r="K16">
        <f>Attendance!F13</f>
        <v>0</v>
      </c>
      <c r="L16">
        <f>VLOOKUP(B16,Performance!$A:$L,12,FALSE)</f>
        <v>4</v>
      </c>
      <c r="M16" t="str">
        <f t="shared" si="0"/>
        <v>OK</v>
      </c>
      <c r="N16" t="str">
        <f t="shared" si="1"/>
        <v>OK</v>
      </c>
      <c r="O16" t="str">
        <f t="shared" si="2"/>
        <v>OK</v>
      </c>
    </row>
    <row r="17" spans="2:15" x14ac:dyDescent="0.3">
      <c r="B17" t="str">
        <f>Employees!A14</f>
        <v>EMP013</v>
      </c>
      <c r="C17" t="str">
        <f>Employees!B14</f>
        <v>Noah Johnson</v>
      </c>
      <c r="D17" t="str">
        <f>Employees!F14</f>
        <v>Finance</v>
      </c>
      <c r="E17" t="str">
        <f>Employees!G14</f>
        <v>Accountant</v>
      </c>
      <c r="F17" t="str">
        <f>Employees!H14</f>
        <v>Suresh Kumar</v>
      </c>
      <c r="G17" s="14">
        <f>Attendance!G14</f>
        <v>1</v>
      </c>
      <c r="H17">
        <f>IF(OR(Attendance!C14="P",Attendance!C14="WFH"),1,0)</f>
        <v>1</v>
      </c>
      <c r="I17">
        <f>IF(Attendance!C14="A",1,0)</f>
        <v>0</v>
      </c>
      <c r="J17">
        <f>0</f>
        <v>0</v>
      </c>
      <c r="K17">
        <f>Attendance!F14</f>
        <v>0</v>
      </c>
      <c r="L17">
        <f>VLOOKUP(B17,Performance!$A:$L,12,FALSE)</f>
        <v>4.66</v>
      </c>
      <c r="M17" t="str">
        <f t="shared" si="0"/>
        <v>OK</v>
      </c>
      <c r="N17" t="str">
        <f t="shared" si="1"/>
        <v>OK</v>
      </c>
      <c r="O17" t="str">
        <f t="shared" si="2"/>
        <v>OK</v>
      </c>
    </row>
    <row r="18" spans="2:15" x14ac:dyDescent="0.3">
      <c r="B18" t="str">
        <f>Employees!A15</f>
        <v>EMP014</v>
      </c>
      <c r="C18" t="str">
        <f>Employees!B15</f>
        <v>Olivia Johnson</v>
      </c>
      <c r="D18" t="str">
        <f>Employees!F15</f>
        <v>Operations</v>
      </c>
      <c r="E18" t="str">
        <f>Employees!G15</f>
        <v>Operations Associate</v>
      </c>
      <c r="F18" t="str">
        <f>Employees!H15</f>
        <v>Meera Nair</v>
      </c>
      <c r="G18" s="14">
        <f>Attendance!G15</f>
        <v>0</v>
      </c>
      <c r="H18">
        <f>IF(OR(Attendance!C15="P",Attendance!C15="WFH"),1,0)</f>
        <v>0</v>
      </c>
      <c r="I18">
        <f>IF(Attendance!C15="A",1,0)</f>
        <v>1</v>
      </c>
      <c r="J18">
        <f>0</f>
        <v>0</v>
      </c>
      <c r="K18">
        <f>Attendance!F15</f>
        <v>0</v>
      </c>
      <c r="L18">
        <f>VLOOKUP(B18,Performance!$A:$L,12,FALSE)</f>
        <v>2.12</v>
      </c>
      <c r="M18" t="str">
        <f t="shared" si="0"/>
        <v>LOW</v>
      </c>
      <c r="N18" t="str">
        <f t="shared" si="1"/>
        <v>LOW</v>
      </c>
      <c r="O18" t="str">
        <f t="shared" si="2"/>
        <v>High Risk</v>
      </c>
    </row>
    <row r="19" spans="2:15" x14ac:dyDescent="0.3">
      <c r="B19" t="str">
        <f>Employees!A16</f>
        <v>EMP015</v>
      </c>
      <c r="C19" t="str">
        <f>Employees!B16</f>
        <v>Oliver Johnson</v>
      </c>
      <c r="D19" t="str">
        <f>Employees!F16</f>
        <v>IT</v>
      </c>
      <c r="E19" t="str">
        <f>Employees!G16</f>
        <v>Team Lead</v>
      </c>
      <c r="F19" t="str">
        <f>Employees!H16</f>
        <v>Manish Sharma</v>
      </c>
      <c r="G19" s="14">
        <f>Attendance!G16</f>
        <v>1</v>
      </c>
      <c r="H19">
        <f>IF(OR(Attendance!C16="P",Attendance!C16="WFH"),1,0)</f>
        <v>1</v>
      </c>
      <c r="I19">
        <f>IF(Attendance!C16="A",1,0)</f>
        <v>0</v>
      </c>
      <c r="J19">
        <f>0</f>
        <v>0</v>
      </c>
      <c r="K19">
        <f>Attendance!F16</f>
        <v>0</v>
      </c>
      <c r="L19">
        <f>VLOOKUP(B19,Performance!$A:$L,12,FALSE)</f>
        <v>3.66</v>
      </c>
      <c r="M19" t="str">
        <f t="shared" si="0"/>
        <v>OK</v>
      </c>
      <c r="N19" t="str">
        <f t="shared" si="1"/>
        <v>OK</v>
      </c>
      <c r="O19" t="str">
        <f t="shared" si="2"/>
        <v>OK</v>
      </c>
    </row>
    <row r="20" spans="2:15" x14ac:dyDescent="0.3">
      <c r="B20" t="str">
        <f>Employees!A17</f>
        <v>EMP016</v>
      </c>
      <c r="C20" t="str">
        <f>Employees!B17</f>
        <v>Ava Johnson</v>
      </c>
      <c r="D20" t="str">
        <f>Employees!F17</f>
        <v>HR</v>
      </c>
      <c r="E20" t="str">
        <f>Employees!G17</f>
        <v>HR Manager</v>
      </c>
      <c r="F20" t="str">
        <f>Employees!H17</f>
        <v>Anita Desai</v>
      </c>
      <c r="G20" s="14">
        <f>Attendance!G17</f>
        <v>1</v>
      </c>
      <c r="H20">
        <f>IF(OR(Attendance!C17="P",Attendance!C17="WFH"),1,0)</f>
        <v>1</v>
      </c>
      <c r="I20">
        <f>IF(Attendance!C17="A",1,0)</f>
        <v>0</v>
      </c>
      <c r="J20">
        <f>0</f>
        <v>0</v>
      </c>
      <c r="K20">
        <f>Attendance!F17</f>
        <v>0</v>
      </c>
      <c r="L20">
        <f>VLOOKUP(B20,Performance!$A:$L,12,FALSE)</f>
        <v>3.46</v>
      </c>
      <c r="M20" t="str">
        <f t="shared" si="0"/>
        <v>OK</v>
      </c>
      <c r="N20" t="str">
        <f t="shared" si="1"/>
        <v>OK</v>
      </c>
      <c r="O20" t="str">
        <f t="shared" si="2"/>
        <v>OK</v>
      </c>
    </row>
    <row r="21" spans="2:15" x14ac:dyDescent="0.3">
      <c r="B21" t="str">
        <f>Employees!A18</f>
        <v>EMP017</v>
      </c>
      <c r="C21" t="str">
        <f>Employees!B18</f>
        <v>Elijah Johnson</v>
      </c>
      <c r="D21" t="str">
        <f>Employees!F18</f>
        <v>Finance</v>
      </c>
      <c r="E21" t="str">
        <f>Employees!G18</f>
        <v>Financial Analyst</v>
      </c>
      <c r="F21" t="str">
        <f>Employees!H18</f>
        <v>Suresh Kumar</v>
      </c>
      <c r="G21" s="14">
        <f>Attendance!G18</f>
        <v>1</v>
      </c>
      <c r="H21">
        <f>IF(OR(Attendance!C18="P",Attendance!C18="WFH"),1,0)</f>
        <v>1</v>
      </c>
      <c r="I21">
        <f>IF(Attendance!C18="A",1,0)</f>
        <v>0</v>
      </c>
      <c r="J21">
        <f>0</f>
        <v>0</v>
      </c>
      <c r="K21">
        <f>Attendance!F18</f>
        <v>0</v>
      </c>
      <c r="L21">
        <f>VLOOKUP(B21,Performance!$A:$L,12,FALSE)</f>
        <v>5</v>
      </c>
      <c r="M21" t="str">
        <f t="shared" si="0"/>
        <v>OK</v>
      </c>
      <c r="N21" t="str">
        <f t="shared" si="1"/>
        <v>OK</v>
      </c>
      <c r="O21" t="str">
        <f t="shared" si="2"/>
        <v>OK</v>
      </c>
    </row>
    <row r="22" spans="2:15" x14ac:dyDescent="0.3">
      <c r="B22" t="str">
        <f>Employees!A19</f>
        <v>EMP018</v>
      </c>
      <c r="C22" t="str">
        <f>Employees!B19</f>
        <v>Sophia Johnson</v>
      </c>
      <c r="D22" t="str">
        <f>Employees!F19</f>
        <v>Operations</v>
      </c>
      <c r="E22" t="str">
        <f>Employees!G19</f>
        <v>Operations Manager</v>
      </c>
      <c r="F22" t="str">
        <f>Employees!H19</f>
        <v>Meera Nair</v>
      </c>
      <c r="G22" s="14">
        <f>Attendance!G19</f>
        <v>1</v>
      </c>
      <c r="H22">
        <f>IF(OR(Attendance!C19="P",Attendance!C19="WFH"),1,0)</f>
        <v>1</v>
      </c>
      <c r="I22">
        <f>IF(Attendance!C19="A",1,0)</f>
        <v>0</v>
      </c>
      <c r="J22">
        <f>0</f>
        <v>0</v>
      </c>
      <c r="K22">
        <f>Attendance!F19</f>
        <v>0</v>
      </c>
      <c r="L22">
        <f>VLOOKUP(B22,Performance!$A:$L,12,FALSE)</f>
        <v>3.88</v>
      </c>
      <c r="M22" t="str">
        <f t="shared" si="0"/>
        <v>OK</v>
      </c>
      <c r="N22" t="str">
        <f t="shared" si="1"/>
        <v>OK</v>
      </c>
      <c r="O22" t="str">
        <f t="shared" si="2"/>
        <v>OK</v>
      </c>
    </row>
    <row r="23" spans="2:15" x14ac:dyDescent="0.3">
      <c r="B23" t="str">
        <f>Employees!A20</f>
        <v>EMP019</v>
      </c>
      <c r="C23" t="str">
        <f>Employees!B20</f>
        <v>William Johnson</v>
      </c>
      <c r="D23" t="str">
        <f>Employees!F20</f>
        <v>IT</v>
      </c>
      <c r="E23" t="str">
        <f>Employees!G20</f>
        <v>Software Engineer</v>
      </c>
      <c r="F23" t="str">
        <f>Employees!H20</f>
        <v>Manish Sharma</v>
      </c>
      <c r="G23" s="14">
        <f>Attendance!G20</f>
        <v>1</v>
      </c>
      <c r="H23">
        <f>IF(OR(Attendance!C20="P",Attendance!C20="WFH"),1,0)</f>
        <v>1</v>
      </c>
      <c r="I23">
        <f>IF(Attendance!C20="A",1,0)</f>
        <v>0</v>
      </c>
      <c r="J23">
        <f>0</f>
        <v>0</v>
      </c>
      <c r="K23">
        <f>Attendance!F20</f>
        <v>0</v>
      </c>
      <c r="L23">
        <f>VLOOKUP(B23,Performance!$A:$L,12,FALSE)</f>
        <v>3</v>
      </c>
      <c r="M23" t="str">
        <f t="shared" si="0"/>
        <v>OK</v>
      </c>
      <c r="N23" t="str">
        <f t="shared" si="1"/>
        <v>OK</v>
      </c>
      <c r="O23" t="str">
        <f t="shared" si="2"/>
        <v>OK</v>
      </c>
    </row>
    <row r="24" spans="2:15" x14ac:dyDescent="0.3">
      <c r="B24" t="str">
        <f>Employees!A21</f>
        <v>EMP020</v>
      </c>
      <c r="C24" t="str">
        <f>Employees!B21</f>
        <v>Isabella Johnson</v>
      </c>
      <c r="D24" t="str">
        <f>Employees!F21</f>
        <v>Finance</v>
      </c>
      <c r="E24" t="str">
        <f>Employees!G21</f>
        <v>Accountant</v>
      </c>
      <c r="F24" t="str">
        <f>Employees!H21</f>
        <v>Suresh Kumar</v>
      </c>
      <c r="G24" s="14">
        <f>Attendance!G21</f>
        <v>1</v>
      </c>
      <c r="H24">
        <f>IF(OR(Attendance!C21="P",Attendance!C21="WFH"),1,0)</f>
        <v>1</v>
      </c>
      <c r="I24">
        <f>IF(Attendance!C21="A",1,0)</f>
        <v>0</v>
      </c>
      <c r="J24">
        <f>0</f>
        <v>0</v>
      </c>
      <c r="K24">
        <f>Attendance!F21</f>
        <v>0</v>
      </c>
      <c r="L24">
        <f>VLOOKUP(B24,Performance!$A:$L,12,FALSE)</f>
        <v>4.12</v>
      </c>
      <c r="M24" t="str">
        <f t="shared" si="0"/>
        <v>OK</v>
      </c>
      <c r="N24" t="str">
        <f t="shared" si="1"/>
        <v>OK</v>
      </c>
      <c r="O24" t="str">
        <f t="shared" si="2"/>
        <v>OK</v>
      </c>
    </row>
    <row r="25" spans="2:15" x14ac:dyDescent="0.3">
      <c r="B25" t="str">
        <f>Employees!A22</f>
        <v>EMP021</v>
      </c>
      <c r="C25" t="str">
        <f>Employees!B22</f>
        <v>Liam Williams</v>
      </c>
      <c r="D25" t="str">
        <f>Employees!F22</f>
        <v>IT</v>
      </c>
      <c r="E25" t="str">
        <f>Employees!G22</f>
        <v>Software Engineer</v>
      </c>
      <c r="F25" t="str">
        <f>Employees!H22</f>
        <v>Manish Sharma</v>
      </c>
      <c r="G25" s="14">
        <f>Attendance!G22</f>
        <v>1</v>
      </c>
      <c r="H25">
        <f>IF(OR(Attendance!C22="P",Attendance!C22="WFH"),1,0)</f>
        <v>1</v>
      </c>
      <c r="I25">
        <f>IF(Attendance!C22="A",1,0)</f>
        <v>0</v>
      </c>
      <c r="J25">
        <f>0</f>
        <v>0</v>
      </c>
      <c r="K25">
        <f>Attendance!F22</f>
        <v>0</v>
      </c>
      <c r="L25">
        <f>VLOOKUP(B25,Performance!$A:$L,12,FALSE)</f>
        <v>4.54</v>
      </c>
      <c r="M25" t="str">
        <f t="shared" si="0"/>
        <v>OK</v>
      </c>
      <c r="N25" t="str">
        <f t="shared" si="1"/>
        <v>OK</v>
      </c>
      <c r="O25" t="str">
        <f t="shared" si="2"/>
        <v>OK</v>
      </c>
    </row>
    <row r="26" spans="2:15" x14ac:dyDescent="0.3">
      <c r="B26" t="str">
        <f>Employees!A23</f>
        <v>EMP022</v>
      </c>
      <c r="C26" t="str">
        <f>Employees!B23</f>
        <v>Emma Williams</v>
      </c>
      <c r="D26" t="str">
        <f>Employees!F23</f>
        <v>HR</v>
      </c>
      <c r="E26" t="str">
        <f>Employees!G23</f>
        <v>HR Executive</v>
      </c>
      <c r="F26" t="str">
        <f>Employees!H23</f>
        <v>Anita Desai</v>
      </c>
      <c r="G26" s="14">
        <f>Attendance!G23</f>
        <v>1</v>
      </c>
      <c r="H26">
        <f>IF(OR(Attendance!C23="P",Attendance!C23="WFH"),1,0)</f>
        <v>1</v>
      </c>
      <c r="I26">
        <f>IF(Attendance!C23="A",1,0)</f>
        <v>0</v>
      </c>
      <c r="J26">
        <f>0</f>
        <v>0</v>
      </c>
      <c r="K26">
        <f>Attendance!F23</f>
        <v>0</v>
      </c>
      <c r="L26">
        <f>VLOOKUP(B26,Performance!$A:$L,12,FALSE)</f>
        <v>3.12</v>
      </c>
      <c r="M26" t="str">
        <f t="shared" si="0"/>
        <v>OK</v>
      </c>
      <c r="N26" t="str">
        <f t="shared" si="1"/>
        <v>OK</v>
      </c>
      <c r="O26" t="str">
        <f t="shared" si="2"/>
        <v>OK</v>
      </c>
    </row>
    <row r="27" spans="2:15" x14ac:dyDescent="0.3">
      <c r="B27" t="str">
        <f>Employees!A24</f>
        <v>EMP023</v>
      </c>
      <c r="C27" t="str">
        <f>Employees!B24</f>
        <v>Noah Williams</v>
      </c>
      <c r="D27" t="str">
        <f>Employees!F24</f>
        <v>Finance</v>
      </c>
      <c r="E27" t="str">
        <f>Employees!G24</f>
        <v>Accountant</v>
      </c>
      <c r="F27" t="str">
        <f>Employees!H24</f>
        <v>Suresh Kumar</v>
      </c>
      <c r="G27" s="14">
        <f>Attendance!G24</f>
        <v>1</v>
      </c>
      <c r="H27">
        <f>IF(OR(Attendance!C24="P",Attendance!C24="WFH"),1,0)</f>
        <v>1</v>
      </c>
      <c r="I27">
        <f>IF(Attendance!C24="A",1,0)</f>
        <v>0</v>
      </c>
      <c r="J27">
        <f>0</f>
        <v>0</v>
      </c>
      <c r="K27">
        <f>Attendance!F24</f>
        <v>0</v>
      </c>
      <c r="L27">
        <f>VLOOKUP(B27,Performance!$A:$L,12,FALSE)</f>
        <v>4</v>
      </c>
      <c r="M27" t="str">
        <f t="shared" si="0"/>
        <v>OK</v>
      </c>
      <c r="N27" t="str">
        <f t="shared" si="1"/>
        <v>OK</v>
      </c>
      <c r="O27" t="str">
        <f t="shared" si="2"/>
        <v>OK</v>
      </c>
    </row>
    <row r="28" spans="2:15" x14ac:dyDescent="0.3">
      <c r="B28" t="str">
        <f>Employees!A25</f>
        <v>EMP024</v>
      </c>
      <c r="C28" t="str">
        <f>Employees!B25</f>
        <v>Olivia Williams</v>
      </c>
      <c r="D28" t="str">
        <f>Employees!F25</f>
        <v>Operations</v>
      </c>
      <c r="E28" t="str">
        <f>Employees!G25</f>
        <v>Operations Associate</v>
      </c>
      <c r="F28" t="str">
        <f>Employees!H25</f>
        <v>Meera Nair</v>
      </c>
      <c r="G28" s="14">
        <f>Attendance!G25</f>
        <v>0</v>
      </c>
      <c r="H28">
        <f>IF(OR(Attendance!C25="P",Attendance!C25="WFH"),1,0)</f>
        <v>0</v>
      </c>
      <c r="I28">
        <f>IF(Attendance!C25="A",1,0)</f>
        <v>0</v>
      </c>
      <c r="J28">
        <f>0</f>
        <v>0</v>
      </c>
      <c r="K28">
        <f>Attendance!F25</f>
        <v>0</v>
      </c>
      <c r="L28">
        <f>VLOOKUP(B28,Performance!$A:$L,12,FALSE)</f>
        <v>2.2200000000000002</v>
      </c>
      <c r="M28" t="str">
        <f t="shared" si="0"/>
        <v>LOW</v>
      </c>
      <c r="N28" t="str">
        <f t="shared" si="1"/>
        <v>LOW</v>
      </c>
      <c r="O28" t="str">
        <f t="shared" si="2"/>
        <v>High Risk</v>
      </c>
    </row>
    <row r="29" spans="2:15" x14ac:dyDescent="0.3">
      <c r="B29" t="str">
        <f>Employees!A26</f>
        <v>EMP025</v>
      </c>
      <c r="C29" t="str">
        <f>Employees!B26</f>
        <v>Oliver Williams</v>
      </c>
      <c r="D29" t="str">
        <f>Employees!F26</f>
        <v>IT</v>
      </c>
      <c r="E29" t="str">
        <f>Employees!G26</f>
        <v>Team Lead</v>
      </c>
      <c r="F29" t="str">
        <f>Employees!H26</f>
        <v>Manish Sharma</v>
      </c>
      <c r="G29" s="14">
        <f>Attendance!G26</f>
        <v>1</v>
      </c>
      <c r="H29">
        <f>IF(OR(Attendance!C26="P",Attendance!C26="WFH"),1,0)</f>
        <v>1</v>
      </c>
      <c r="I29">
        <f>IF(Attendance!C26="A",1,0)</f>
        <v>0</v>
      </c>
      <c r="J29">
        <f>0</f>
        <v>0</v>
      </c>
      <c r="K29">
        <f>Attendance!F26</f>
        <v>0</v>
      </c>
      <c r="L29">
        <f>VLOOKUP(B29,Performance!$A:$L,12,FALSE)</f>
        <v>5</v>
      </c>
      <c r="M29" t="str">
        <f t="shared" si="0"/>
        <v>OK</v>
      </c>
      <c r="N29" t="str">
        <f t="shared" si="1"/>
        <v>OK</v>
      </c>
      <c r="O29" t="str">
        <f t="shared" si="2"/>
        <v>OK</v>
      </c>
    </row>
    <row r="30" spans="2:15" x14ac:dyDescent="0.3">
      <c r="B30" t="str">
        <f>Employees!A27</f>
        <v>EMP026</v>
      </c>
      <c r="C30" t="str">
        <f>Employees!B27</f>
        <v>Ava Williams</v>
      </c>
      <c r="D30" t="str">
        <f>Employees!F27</f>
        <v>HR</v>
      </c>
      <c r="E30" t="str">
        <f>Employees!G27</f>
        <v>HR Manager</v>
      </c>
      <c r="F30" t="str">
        <f>Employees!H27</f>
        <v>Anita Desai</v>
      </c>
      <c r="G30" s="14">
        <f>Attendance!G27</f>
        <v>1</v>
      </c>
      <c r="H30">
        <f>IF(OR(Attendance!C27="P",Attendance!C27="WFH"),1,0)</f>
        <v>1</v>
      </c>
      <c r="I30">
        <f>IF(Attendance!C27="A",1,0)</f>
        <v>0</v>
      </c>
      <c r="J30">
        <f>0</f>
        <v>0</v>
      </c>
      <c r="K30">
        <f>Attendance!F27</f>
        <v>0</v>
      </c>
      <c r="L30">
        <f>VLOOKUP(B30,Performance!$A:$L,12,FALSE)</f>
        <v>3.76</v>
      </c>
      <c r="M30" t="str">
        <f t="shared" si="0"/>
        <v>OK</v>
      </c>
      <c r="N30" t="str">
        <f t="shared" si="1"/>
        <v>OK</v>
      </c>
      <c r="O30" t="str">
        <f t="shared" si="2"/>
        <v>OK</v>
      </c>
    </row>
    <row r="31" spans="2:15" x14ac:dyDescent="0.3">
      <c r="B31" t="str">
        <f>Employees!A28</f>
        <v>EMP027</v>
      </c>
      <c r="C31" t="str">
        <f>Employees!B28</f>
        <v>Elijah Williams</v>
      </c>
      <c r="D31" t="str">
        <f>Employees!F28</f>
        <v>Finance</v>
      </c>
      <c r="E31" t="str">
        <f>Employees!G28</f>
        <v>Financial Analyst</v>
      </c>
      <c r="F31" t="str">
        <f>Employees!H28</f>
        <v>Suresh Kumar</v>
      </c>
      <c r="G31" s="14">
        <f>Attendance!G28</f>
        <v>1</v>
      </c>
      <c r="H31">
        <f>IF(OR(Attendance!C28="P",Attendance!C28="WFH"),1,0)</f>
        <v>1</v>
      </c>
      <c r="I31">
        <f>IF(Attendance!C28="A",1,0)</f>
        <v>0</v>
      </c>
      <c r="J31">
        <f>0</f>
        <v>0</v>
      </c>
      <c r="K31">
        <f>Attendance!F28</f>
        <v>0</v>
      </c>
      <c r="L31">
        <f>VLOOKUP(B31,Performance!$A:$L,12,FALSE)</f>
        <v>3</v>
      </c>
      <c r="M31" t="str">
        <f t="shared" si="0"/>
        <v>OK</v>
      </c>
      <c r="N31" t="str">
        <f t="shared" si="1"/>
        <v>OK</v>
      </c>
      <c r="O31" t="str">
        <f t="shared" si="2"/>
        <v>OK</v>
      </c>
    </row>
    <row r="32" spans="2:15" x14ac:dyDescent="0.3">
      <c r="B32" t="str">
        <f>Employees!A29</f>
        <v>EMP028</v>
      </c>
      <c r="C32" t="str">
        <f>Employees!B29</f>
        <v>Sophia Williams</v>
      </c>
      <c r="D32" t="str">
        <f>Employees!F29</f>
        <v>Operations</v>
      </c>
      <c r="E32" t="str">
        <f>Employees!G29</f>
        <v>Operations Manager</v>
      </c>
      <c r="F32" t="str">
        <f>Employees!H29</f>
        <v>Meera Nair</v>
      </c>
      <c r="G32" s="14">
        <f>Attendance!G29</f>
        <v>1</v>
      </c>
      <c r="H32">
        <f>IF(OR(Attendance!C29="P",Attendance!C29="WFH"),1,0)</f>
        <v>1</v>
      </c>
      <c r="I32">
        <f>IF(Attendance!C29="A",1,0)</f>
        <v>0</v>
      </c>
      <c r="J32">
        <f>0</f>
        <v>0</v>
      </c>
      <c r="K32">
        <f>Attendance!F29</f>
        <v>2</v>
      </c>
      <c r="L32">
        <f>VLOOKUP(B32,Performance!$A:$L,12,FALSE)</f>
        <v>4</v>
      </c>
      <c r="M32" t="str">
        <f t="shared" si="0"/>
        <v>OK</v>
      </c>
      <c r="N32" t="str">
        <f t="shared" si="1"/>
        <v>OK</v>
      </c>
      <c r="O32" t="str">
        <f t="shared" si="2"/>
        <v>OK</v>
      </c>
    </row>
    <row r="33" spans="2:15" x14ac:dyDescent="0.3">
      <c r="B33" t="str">
        <f>Employees!A30</f>
        <v>EMP029</v>
      </c>
      <c r="C33" t="str">
        <f>Employees!B30</f>
        <v>William Williams</v>
      </c>
      <c r="D33" t="str">
        <f>Employees!F30</f>
        <v>IT</v>
      </c>
      <c r="E33" t="str">
        <f>Employees!G30</f>
        <v>Software Engineer</v>
      </c>
      <c r="F33" t="str">
        <f>Employees!H30</f>
        <v>Manish Sharma</v>
      </c>
      <c r="G33" s="14">
        <f>Attendance!G30</f>
        <v>1</v>
      </c>
      <c r="H33">
        <f>IF(OR(Attendance!C30="P",Attendance!C30="WFH"),1,0)</f>
        <v>1</v>
      </c>
      <c r="I33">
        <f>IF(Attendance!C30="A",1,0)</f>
        <v>0</v>
      </c>
      <c r="J33">
        <f>0</f>
        <v>0</v>
      </c>
      <c r="K33">
        <f>Attendance!F30</f>
        <v>0</v>
      </c>
      <c r="L33">
        <f>VLOOKUP(B33,Performance!$A:$L,12,FALSE)</f>
        <v>4.66</v>
      </c>
      <c r="M33" t="str">
        <f t="shared" si="0"/>
        <v>OK</v>
      </c>
      <c r="N33" t="str">
        <f t="shared" si="1"/>
        <v>OK</v>
      </c>
      <c r="O33" t="str">
        <f t="shared" si="2"/>
        <v>OK</v>
      </c>
    </row>
    <row r="34" spans="2:15" x14ac:dyDescent="0.3">
      <c r="B34" t="str">
        <f>Employees!A31</f>
        <v>EMP030</v>
      </c>
      <c r="C34" t="str">
        <f>Employees!B31</f>
        <v>Isabella Williams</v>
      </c>
      <c r="D34" t="str">
        <f>Employees!F31</f>
        <v>Finance</v>
      </c>
      <c r="E34" t="str">
        <f>Employees!G31</f>
        <v>Accountant</v>
      </c>
      <c r="F34" t="str">
        <f>Employees!H31</f>
        <v>Suresh Kumar</v>
      </c>
      <c r="G34" s="14">
        <f>Attendance!G31</f>
        <v>1</v>
      </c>
      <c r="H34">
        <f>IF(OR(Attendance!C31="P",Attendance!C31="WFH"),1,0)</f>
        <v>1</v>
      </c>
      <c r="I34">
        <f>IF(Attendance!C31="A",1,0)</f>
        <v>0</v>
      </c>
      <c r="J34">
        <f>0</f>
        <v>0</v>
      </c>
      <c r="K34">
        <f>Attendance!F31</f>
        <v>0</v>
      </c>
      <c r="L34">
        <f>VLOOKUP(B34,Performance!$A:$L,12,FALSE)</f>
        <v>2</v>
      </c>
      <c r="M34" t="str">
        <f t="shared" si="0"/>
        <v>OK</v>
      </c>
      <c r="N34" t="str">
        <f t="shared" si="1"/>
        <v>LOW</v>
      </c>
      <c r="O34" t="str">
        <f t="shared" si="2"/>
        <v>Performance Risk</v>
      </c>
    </row>
    <row r="35" spans="2:15" x14ac:dyDescent="0.3">
      <c r="B35" t="str">
        <f>Employees!A32</f>
        <v>EMP031</v>
      </c>
      <c r="C35" t="str">
        <f>Employees!B32</f>
        <v>Liam Brown</v>
      </c>
      <c r="D35" t="str">
        <f>Employees!F32</f>
        <v>IT</v>
      </c>
      <c r="E35" t="str">
        <f>Employees!G32</f>
        <v>Software Engineer</v>
      </c>
      <c r="F35" t="str">
        <f>Employees!H32</f>
        <v>Manish Sharma</v>
      </c>
      <c r="G35" s="14">
        <f>Attendance!G32</f>
        <v>1</v>
      </c>
      <c r="H35">
        <f>IF(OR(Attendance!C32="P",Attendance!C32="WFH"),1,0)</f>
        <v>1</v>
      </c>
      <c r="I35">
        <f>IF(Attendance!C32="A",1,0)</f>
        <v>0</v>
      </c>
      <c r="J35">
        <f>0</f>
        <v>0</v>
      </c>
      <c r="K35">
        <f>Attendance!F32</f>
        <v>0</v>
      </c>
      <c r="L35">
        <f>VLOOKUP(B35,Performance!$A:$L,12,FALSE)</f>
        <v>4.24</v>
      </c>
      <c r="M35" t="str">
        <f t="shared" si="0"/>
        <v>OK</v>
      </c>
      <c r="N35" t="str">
        <f t="shared" si="1"/>
        <v>OK</v>
      </c>
      <c r="O35" t="str">
        <f t="shared" si="2"/>
        <v>OK</v>
      </c>
    </row>
    <row r="36" spans="2:15" x14ac:dyDescent="0.3">
      <c r="B36" t="str">
        <f>Employees!A33</f>
        <v>EMP032</v>
      </c>
      <c r="C36" t="str">
        <f>Employees!B33</f>
        <v>Emma Brown</v>
      </c>
      <c r="D36" t="str">
        <f>Employees!F33</f>
        <v>HR</v>
      </c>
      <c r="E36" t="str">
        <f>Employees!G33</f>
        <v>HR Executive</v>
      </c>
      <c r="F36" t="str">
        <f>Employees!H33</f>
        <v>Anita Desai</v>
      </c>
      <c r="G36" s="14">
        <f>Attendance!G33</f>
        <v>1</v>
      </c>
      <c r="H36">
        <f>IF(OR(Attendance!C33="P",Attendance!C33="WFH"),1,0)</f>
        <v>1</v>
      </c>
      <c r="I36">
        <f>IF(Attendance!C33="A",1,0)</f>
        <v>0</v>
      </c>
      <c r="J36">
        <f>0</f>
        <v>0</v>
      </c>
      <c r="K36">
        <f>Attendance!F33</f>
        <v>0</v>
      </c>
      <c r="L36">
        <f>VLOOKUP(B36,Performance!$A:$L,12,FALSE)</f>
        <v>3.22</v>
      </c>
      <c r="M36" t="str">
        <f t="shared" si="0"/>
        <v>OK</v>
      </c>
      <c r="N36" t="str">
        <f t="shared" si="1"/>
        <v>OK</v>
      </c>
      <c r="O36" t="str">
        <f t="shared" si="2"/>
        <v>OK</v>
      </c>
    </row>
    <row r="37" spans="2:15" x14ac:dyDescent="0.3">
      <c r="B37" t="str">
        <f>Employees!A34</f>
        <v>EMP033</v>
      </c>
      <c r="C37" t="str">
        <f>Employees!B34</f>
        <v>Noah Brown</v>
      </c>
      <c r="D37" t="str">
        <f>Employees!F34</f>
        <v>Finance</v>
      </c>
      <c r="E37" t="str">
        <f>Employees!G34</f>
        <v>Accountant</v>
      </c>
      <c r="F37" t="str">
        <f>Employees!H34</f>
        <v>Suresh Kumar</v>
      </c>
      <c r="G37" s="14">
        <f>Attendance!G34</f>
        <v>1</v>
      </c>
      <c r="H37">
        <f>IF(OR(Attendance!C34="P",Attendance!C34="WFH"),1,0)</f>
        <v>1</v>
      </c>
      <c r="I37">
        <f>IF(Attendance!C34="A",1,0)</f>
        <v>0</v>
      </c>
      <c r="J37">
        <f>0</f>
        <v>0</v>
      </c>
      <c r="K37">
        <f>Attendance!F34</f>
        <v>0</v>
      </c>
      <c r="L37">
        <f>VLOOKUP(B37,Performance!$A:$L,12,FALSE)</f>
        <v>5</v>
      </c>
      <c r="M37" t="str">
        <f t="shared" si="0"/>
        <v>OK</v>
      </c>
      <c r="N37" t="str">
        <f t="shared" si="1"/>
        <v>OK</v>
      </c>
      <c r="O37" t="str">
        <f t="shared" si="2"/>
        <v>OK</v>
      </c>
    </row>
    <row r="38" spans="2:15" x14ac:dyDescent="0.3">
      <c r="B38" t="str">
        <f>Employees!A35</f>
        <v>EMP034</v>
      </c>
      <c r="C38" t="str">
        <f>Employees!B35</f>
        <v>Olivia Brown</v>
      </c>
      <c r="D38" t="str">
        <f>Employees!F35</f>
        <v>Operations</v>
      </c>
      <c r="E38" t="str">
        <f>Employees!G35</f>
        <v>Operations Associate</v>
      </c>
      <c r="F38" t="str">
        <f>Employees!H35</f>
        <v>Meera Nair</v>
      </c>
      <c r="G38" s="14">
        <f>Attendance!G35</f>
        <v>1</v>
      </c>
      <c r="H38">
        <f>IF(OR(Attendance!C35="P",Attendance!C35="WFH"),1,0)</f>
        <v>1</v>
      </c>
      <c r="I38">
        <f>IF(Attendance!C35="A",1,0)</f>
        <v>0</v>
      </c>
      <c r="J38">
        <f>0</f>
        <v>0</v>
      </c>
      <c r="K38">
        <f>Attendance!F35</f>
        <v>0</v>
      </c>
      <c r="L38">
        <f>VLOOKUP(B38,Performance!$A:$L,12,FALSE)</f>
        <v>4</v>
      </c>
      <c r="M38" t="str">
        <f t="shared" si="0"/>
        <v>OK</v>
      </c>
      <c r="N38" t="str">
        <f t="shared" si="1"/>
        <v>OK</v>
      </c>
      <c r="O38" t="str">
        <f t="shared" si="2"/>
        <v>OK</v>
      </c>
    </row>
    <row r="39" spans="2:15" x14ac:dyDescent="0.3">
      <c r="B39" t="str">
        <f>Employees!A36</f>
        <v>EMP035</v>
      </c>
      <c r="C39" t="str">
        <f>Employees!B36</f>
        <v>Oliver Brown</v>
      </c>
      <c r="D39" t="str">
        <f>Employees!F36</f>
        <v>IT</v>
      </c>
      <c r="E39" t="str">
        <f>Employees!G36</f>
        <v>Team Lead</v>
      </c>
      <c r="F39" t="str">
        <f>Employees!H36</f>
        <v>Manish Sharma</v>
      </c>
      <c r="G39" s="14">
        <f>Attendance!G36</f>
        <v>1</v>
      </c>
      <c r="H39">
        <f>IF(OR(Attendance!C36="P",Attendance!C36="WFH"),1,0)</f>
        <v>1</v>
      </c>
      <c r="I39">
        <f>IF(Attendance!C36="A",1,0)</f>
        <v>0</v>
      </c>
      <c r="J39">
        <f>0</f>
        <v>0</v>
      </c>
      <c r="K39">
        <f>Attendance!F36</f>
        <v>0</v>
      </c>
      <c r="L39">
        <f>VLOOKUP(B39,Performance!$A:$L,12,FALSE)</f>
        <v>2.76</v>
      </c>
      <c r="M39" t="str">
        <f t="shared" si="0"/>
        <v>OK</v>
      </c>
      <c r="N39" t="str">
        <f t="shared" si="1"/>
        <v>LOW</v>
      </c>
      <c r="O39" t="str">
        <f t="shared" si="2"/>
        <v>Performance Risk</v>
      </c>
    </row>
    <row r="40" spans="2:15" x14ac:dyDescent="0.3">
      <c r="B40" t="str">
        <f>Employees!A37</f>
        <v>EMP036</v>
      </c>
      <c r="C40" t="str">
        <f>Employees!B37</f>
        <v>Ava Brown</v>
      </c>
      <c r="D40" t="str">
        <f>Employees!F37</f>
        <v>HR</v>
      </c>
      <c r="E40" t="str">
        <f>Employees!G37</f>
        <v>HR Manager</v>
      </c>
      <c r="F40" t="str">
        <f>Employees!H37</f>
        <v>Anita Desai</v>
      </c>
      <c r="G40" s="14">
        <f>Attendance!G37</f>
        <v>1</v>
      </c>
      <c r="H40">
        <f>IF(OR(Attendance!C37="P",Attendance!C37="WFH"),1,0)</f>
        <v>1</v>
      </c>
      <c r="I40">
        <f>IF(Attendance!C37="A",1,0)</f>
        <v>0</v>
      </c>
      <c r="J40">
        <f>0</f>
        <v>0</v>
      </c>
      <c r="K40">
        <f>Attendance!F37</f>
        <v>0</v>
      </c>
      <c r="L40">
        <f>VLOOKUP(B40,Performance!$A:$L,12,FALSE)</f>
        <v>4</v>
      </c>
      <c r="M40" t="str">
        <f t="shared" si="0"/>
        <v>OK</v>
      </c>
      <c r="N40" t="str">
        <f t="shared" si="1"/>
        <v>OK</v>
      </c>
      <c r="O40" t="str">
        <f t="shared" si="2"/>
        <v>OK</v>
      </c>
    </row>
    <row r="41" spans="2:15" x14ac:dyDescent="0.3">
      <c r="B41" t="str">
        <f>Employees!A38</f>
        <v>EMP037</v>
      </c>
      <c r="C41" t="str">
        <f>Employees!B38</f>
        <v>Elijah Brown</v>
      </c>
      <c r="D41" t="str">
        <f>Employees!F38</f>
        <v>Finance</v>
      </c>
      <c r="E41" t="str">
        <f>Employees!G38</f>
        <v>Financial Analyst</v>
      </c>
      <c r="F41" t="str">
        <f>Employees!H38</f>
        <v>Suresh Kumar</v>
      </c>
      <c r="G41" s="14">
        <f>Attendance!G38</f>
        <v>1</v>
      </c>
      <c r="H41">
        <f>IF(OR(Attendance!C38="P",Attendance!C38="WFH"),1,0)</f>
        <v>1</v>
      </c>
      <c r="I41">
        <f>IF(Attendance!C38="A",1,0)</f>
        <v>0</v>
      </c>
      <c r="J41">
        <f>0</f>
        <v>0</v>
      </c>
      <c r="K41">
        <f>Attendance!F38</f>
        <v>0</v>
      </c>
      <c r="L41">
        <f>VLOOKUP(B41,Performance!$A:$L,12,FALSE)</f>
        <v>4.66</v>
      </c>
      <c r="M41" t="str">
        <f t="shared" si="0"/>
        <v>OK</v>
      </c>
      <c r="N41" t="str">
        <f t="shared" si="1"/>
        <v>OK</v>
      </c>
      <c r="O41" t="str">
        <f t="shared" si="2"/>
        <v>OK</v>
      </c>
    </row>
    <row r="42" spans="2:15" x14ac:dyDescent="0.3">
      <c r="B42" t="str">
        <f>Employees!A39</f>
        <v>EMP038</v>
      </c>
      <c r="C42" t="str">
        <f>Employees!B39</f>
        <v>Sophia Brown</v>
      </c>
      <c r="D42" t="str">
        <f>Employees!F39</f>
        <v>Operations</v>
      </c>
      <c r="E42" t="str">
        <f>Employees!G39</f>
        <v>Operations Manager</v>
      </c>
      <c r="F42" t="str">
        <f>Employees!H39</f>
        <v>Meera Nair</v>
      </c>
      <c r="G42" s="14">
        <f>Attendance!G39</f>
        <v>1</v>
      </c>
      <c r="H42">
        <f>IF(OR(Attendance!C39="P",Attendance!C39="WFH"),1,0)</f>
        <v>1</v>
      </c>
      <c r="I42">
        <f>IF(Attendance!C39="A",1,0)</f>
        <v>0</v>
      </c>
      <c r="J42">
        <f>0</f>
        <v>0</v>
      </c>
      <c r="K42">
        <f>Attendance!F39</f>
        <v>0</v>
      </c>
      <c r="L42">
        <f>VLOOKUP(B42,Performance!$A:$L,12,FALSE)</f>
        <v>3</v>
      </c>
      <c r="M42" t="str">
        <f t="shared" si="0"/>
        <v>OK</v>
      </c>
      <c r="N42" t="str">
        <f t="shared" si="1"/>
        <v>OK</v>
      </c>
      <c r="O42" t="str">
        <f t="shared" si="2"/>
        <v>OK</v>
      </c>
    </row>
    <row r="43" spans="2:15" x14ac:dyDescent="0.3">
      <c r="B43" t="str">
        <f>Employees!A40</f>
        <v>EMP039</v>
      </c>
      <c r="C43" t="str">
        <f>Employees!B40</f>
        <v>William Brown</v>
      </c>
      <c r="D43" t="str">
        <f>Employees!F40</f>
        <v>IT</v>
      </c>
      <c r="E43" t="str">
        <f>Employees!G40</f>
        <v>Software Engineer</v>
      </c>
      <c r="F43" t="str">
        <f>Employees!H40</f>
        <v>Manish Sharma</v>
      </c>
      <c r="G43" s="14">
        <f>Attendance!G40</f>
        <v>1</v>
      </c>
      <c r="H43">
        <f>IF(OR(Attendance!C40="P",Attendance!C40="WFH"),1,0)</f>
        <v>1</v>
      </c>
      <c r="I43">
        <f>IF(Attendance!C40="A",1,0)</f>
        <v>0</v>
      </c>
      <c r="J43">
        <f>0</f>
        <v>0</v>
      </c>
      <c r="K43">
        <f>Attendance!F40</f>
        <v>0</v>
      </c>
      <c r="L43">
        <f>VLOOKUP(B43,Performance!$A:$L,12,FALSE)</f>
        <v>4.12</v>
      </c>
      <c r="M43" t="str">
        <f t="shared" si="0"/>
        <v>OK</v>
      </c>
      <c r="N43" t="str">
        <f t="shared" si="1"/>
        <v>OK</v>
      </c>
      <c r="O43" t="str">
        <f t="shared" si="2"/>
        <v>OK</v>
      </c>
    </row>
    <row r="44" spans="2:15" x14ac:dyDescent="0.3">
      <c r="B44" t="str">
        <f>Employees!A41</f>
        <v>EMP040</v>
      </c>
      <c r="C44" t="str">
        <f>Employees!B41</f>
        <v>Isabella Brown</v>
      </c>
      <c r="D44" t="str">
        <f>Employees!F41</f>
        <v>Finance</v>
      </c>
      <c r="E44" t="str">
        <f>Employees!G41</f>
        <v>Accountant</v>
      </c>
      <c r="F44" t="str">
        <f>Employees!H41</f>
        <v>Suresh Kumar</v>
      </c>
      <c r="G44" s="14">
        <f>Attendance!G41</f>
        <v>1</v>
      </c>
      <c r="H44">
        <f>IF(OR(Attendance!C41="P",Attendance!C41="WFH"),1,0)</f>
        <v>1</v>
      </c>
      <c r="I44">
        <f>IF(Attendance!C41="A",1,0)</f>
        <v>0</v>
      </c>
      <c r="J44">
        <f>0</f>
        <v>0</v>
      </c>
      <c r="K44">
        <f>Attendance!F41</f>
        <v>0</v>
      </c>
      <c r="L44">
        <f>VLOOKUP(B44,Performance!$A:$L,12,FALSE)</f>
        <v>5</v>
      </c>
      <c r="M44" t="str">
        <f t="shared" si="0"/>
        <v>OK</v>
      </c>
      <c r="N44" t="str">
        <f t="shared" si="1"/>
        <v>OK</v>
      </c>
      <c r="O44" t="str">
        <f t="shared" si="2"/>
        <v>OK</v>
      </c>
    </row>
    <row r="45" spans="2:15" x14ac:dyDescent="0.3">
      <c r="B45" t="str">
        <f>Employees!A42</f>
        <v>EMP041</v>
      </c>
      <c r="C45" t="str">
        <f>Employees!B42</f>
        <v>Liam Jones</v>
      </c>
      <c r="D45" t="str">
        <f>Employees!F42</f>
        <v>IT</v>
      </c>
      <c r="E45" t="str">
        <f>Employees!G42</f>
        <v>Software Engineer</v>
      </c>
      <c r="F45" t="str">
        <f>Employees!H42</f>
        <v>Manish Sharma</v>
      </c>
      <c r="G45" s="14">
        <f>Attendance!G42</f>
        <v>1</v>
      </c>
      <c r="H45">
        <f>IF(OR(Attendance!C42="P",Attendance!C42="WFH"),1,0)</f>
        <v>1</v>
      </c>
      <c r="I45">
        <f>IF(Attendance!C42="A",1,0)</f>
        <v>0</v>
      </c>
      <c r="J45">
        <f>0</f>
        <v>0</v>
      </c>
      <c r="K45">
        <f>Attendance!F42</f>
        <v>0</v>
      </c>
      <c r="L45">
        <f>VLOOKUP(B45,Performance!$A:$L,12,FALSE)</f>
        <v>2.34</v>
      </c>
      <c r="M45" t="str">
        <f t="shared" si="0"/>
        <v>OK</v>
      </c>
      <c r="N45" t="str">
        <f t="shared" si="1"/>
        <v>LOW</v>
      </c>
      <c r="O45" t="str">
        <f t="shared" si="2"/>
        <v>Performance Risk</v>
      </c>
    </row>
    <row r="46" spans="2:15" x14ac:dyDescent="0.3">
      <c r="B46" t="str">
        <f>Employees!A43</f>
        <v>EMP042</v>
      </c>
      <c r="C46" t="str">
        <f>Employees!B43</f>
        <v>Emma Jones</v>
      </c>
      <c r="D46" t="str">
        <f>Employees!F43</f>
        <v>HR</v>
      </c>
      <c r="E46" t="str">
        <f>Employees!G43</f>
        <v>HR Executive</v>
      </c>
      <c r="F46" t="str">
        <f>Employees!H43</f>
        <v>Anita Desai</v>
      </c>
      <c r="G46" s="14">
        <f>Attendance!G43</f>
        <v>1</v>
      </c>
      <c r="H46">
        <f>IF(OR(Attendance!C43="P",Attendance!C43="WFH"),1,0)</f>
        <v>1</v>
      </c>
      <c r="I46">
        <f>IF(Attendance!C43="A",1,0)</f>
        <v>0</v>
      </c>
      <c r="J46">
        <f>0</f>
        <v>0</v>
      </c>
      <c r="K46">
        <f>Attendance!F43</f>
        <v>0</v>
      </c>
      <c r="L46">
        <f>VLOOKUP(B46,Performance!$A:$L,12,FALSE)</f>
        <v>4</v>
      </c>
      <c r="M46" t="str">
        <f t="shared" si="0"/>
        <v>OK</v>
      </c>
      <c r="N46" t="str">
        <f t="shared" si="1"/>
        <v>OK</v>
      </c>
      <c r="O46" t="str">
        <f t="shared" si="2"/>
        <v>OK</v>
      </c>
    </row>
    <row r="47" spans="2:15" x14ac:dyDescent="0.3">
      <c r="B47" t="str">
        <f>Employees!A44</f>
        <v>EMP043</v>
      </c>
      <c r="C47" t="str">
        <f>Employees!B44</f>
        <v>Noah Jones</v>
      </c>
      <c r="D47" t="str">
        <f>Employees!F44</f>
        <v>Finance</v>
      </c>
      <c r="E47" t="str">
        <f>Employees!G44</f>
        <v>Accountant</v>
      </c>
      <c r="F47" t="str">
        <f>Employees!H44</f>
        <v>Suresh Kumar</v>
      </c>
      <c r="G47" s="14">
        <f>Attendance!G44</f>
        <v>1</v>
      </c>
      <c r="H47">
        <f>IF(OR(Attendance!C44="P",Attendance!C44="WFH"),1,0)</f>
        <v>1</v>
      </c>
      <c r="I47">
        <f>IF(Attendance!C44="A",1,0)</f>
        <v>0</v>
      </c>
      <c r="J47">
        <f>0</f>
        <v>0</v>
      </c>
      <c r="K47">
        <f>Attendance!F44</f>
        <v>0</v>
      </c>
      <c r="L47">
        <f>VLOOKUP(B47,Performance!$A:$L,12,FALSE)</f>
        <v>4.66</v>
      </c>
      <c r="M47" t="str">
        <f t="shared" si="0"/>
        <v>OK</v>
      </c>
      <c r="N47" t="str">
        <f t="shared" si="1"/>
        <v>OK</v>
      </c>
      <c r="O47" t="str">
        <f t="shared" si="2"/>
        <v>OK</v>
      </c>
    </row>
    <row r="48" spans="2:15" x14ac:dyDescent="0.3">
      <c r="B48" t="str">
        <f>Employees!A45</f>
        <v>EMP044</v>
      </c>
      <c r="C48" t="str">
        <f>Employees!B45</f>
        <v>Olivia Jones</v>
      </c>
      <c r="D48" t="str">
        <f>Employees!F45</f>
        <v>Operations</v>
      </c>
      <c r="E48" t="str">
        <f>Employees!G45</f>
        <v>Operations Associate</v>
      </c>
      <c r="F48" t="str">
        <f>Employees!H45</f>
        <v>Meera Nair</v>
      </c>
      <c r="G48" s="14">
        <f>Attendance!G45</f>
        <v>1</v>
      </c>
      <c r="H48">
        <f>IF(OR(Attendance!C45="P",Attendance!C45="WFH"),1,0)</f>
        <v>1</v>
      </c>
      <c r="I48">
        <f>IF(Attendance!C45="A",1,0)</f>
        <v>0</v>
      </c>
      <c r="J48">
        <f>0</f>
        <v>0</v>
      </c>
      <c r="K48">
        <f>Attendance!F45</f>
        <v>0</v>
      </c>
      <c r="L48">
        <f>VLOOKUP(B48,Performance!$A:$L,12,FALSE)</f>
        <v>3.22</v>
      </c>
      <c r="M48" t="str">
        <f t="shared" si="0"/>
        <v>OK</v>
      </c>
      <c r="N48" t="str">
        <f t="shared" si="1"/>
        <v>OK</v>
      </c>
      <c r="O48" t="str">
        <f t="shared" si="2"/>
        <v>OK</v>
      </c>
    </row>
    <row r="49" spans="2:15" x14ac:dyDescent="0.3">
      <c r="B49" t="str">
        <f>Employees!A46</f>
        <v>EMP045</v>
      </c>
      <c r="C49" t="str">
        <f>Employees!B46</f>
        <v>Oliver Jones</v>
      </c>
      <c r="D49" t="str">
        <f>Employees!F46</f>
        <v>IT</v>
      </c>
      <c r="E49" t="str">
        <f>Employees!G46</f>
        <v>Team Lead</v>
      </c>
      <c r="F49" t="str">
        <f>Employees!H46</f>
        <v>Manish Sharma</v>
      </c>
      <c r="G49" s="14">
        <f>Attendance!G46</f>
        <v>1</v>
      </c>
      <c r="H49">
        <f>IF(OR(Attendance!C46="P",Attendance!C46="WFH"),1,0)</f>
        <v>1</v>
      </c>
      <c r="I49">
        <f>IF(Attendance!C46="A",1,0)</f>
        <v>0</v>
      </c>
      <c r="J49">
        <f>0</f>
        <v>0</v>
      </c>
      <c r="K49">
        <f>Attendance!F46</f>
        <v>0</v>
      </c>
      <c r="L49">
        <f>VLOOKUP(B49,Performance!$A:$L,12,FALSE)</f>
        <v>4</v>
      </c>
      <c r="M49" t="str">
        <f t="shared" si="0"/>
        <v>OK</v>
      </c>
      <c r="N49" t="str">
        <f t="shared" si="1"/>
        <v>OK</v>
      </c>
      <c r="O49" t="str">
        <f t="shared" si="2"/>
        <v>OK</v>
      </c>
    </row>
    <row r="50" spans="2:15" x14ac:dyDescent="0.3">
      <c r="B50" t="str">
        <f>Employees!A47</f>
        <v>EMP046</v>
      </c>
      <c r="C50" t="str">
        <f>Employees!B47</f>
        <v>Ava Jones</v>
      </c>
      <c r="D50" t="str">
        <f>Employees!F47</f>
        <v>HR</v>
      </c>
      <c r="E50" t="str">
        <f>Employees!G47</f>
        <v>HR Manager</v>
      </c>
      <c r="F50" t="str">
        <f>Employees!H47</f>
        <v>Anita Desai</v>
      </c>
      <c r="G50" s="14">
        <f>Attendance!G47</f>
        <v>1</v>
      </c>
      <c r="H50">
        <f>IF(OR(Attendance!C47="P",Attendance!C47="WFH"),1,0)</f>
        <v>1</v>
      </c>
      <c r="I50">
        <f>IF(Attendance!C47="A",1,0)</f>
        <v>0</v>
      </c>
      <c r="J50">
        <f>0</f>
        <v>0</v>
      </c>
      <c r="K50">
        <f>Attendance!F47</f>
        <v>0</v>
      </c>
      <c r="L50">
        <f>VLOOKUP(B50,Performance!$A:$L,12,FALSE)</f>
        <v>5</v>
      </c>
      <c r="M50" t="str">
        <f t="shared" si="0"/>
        <v>OK</v>
      </c>
      <c r="N50" t="str">
        <f t="shared" si="1"/>
        <v>OK</v>
      </c>
      <c r="O50" t="str">
        <f t="shared" si="2"/>
        <v>OK</v>
      </c>
    </row>
    <row r="51" spans="2:15" x14ac:dyDescent="0.3">
      <c r="B51" t="str">
        <f>Employees!A48</f>
        <v>EMP047</v>
      </c>
      <c r="C51" t="str">
        <f>Employees!B48</f>
        <v>Elijah Jones</v>
      </c>
      <c r="D51" t="str">
        <f>Employees!F48</f>
        <v>Finance</v>
      </c>
      <c r="E51" t="str">
        <f>Employees!G48</f>
        <v>Financial Analyst</v>
      </c>
      <c r="F51" t="str">
        <f>Employees!H48</f>
        <v>Suresh Kumar</v>
      </c>
      <c r="G51" s="14">
        <f>Attendance!G48</f>
        <v>1</v>
      </c>
      <c r="H51">
        <f>IF(OR(Attendance!C48="P",Attendance!C48="WFH"),1,0)</f>
        <v>1</v>
      </c>
      <c r="I51">
        <f>IF(Attendance!C48="A",1,0)</f>
        <v>0</v>
      </c>
      <c r="J51">
        <f>0</f>
        <v>0</v>
      </c>
      <c r="K51">
        <f>Attendance!F48</f>
        <v>0</v>
      </c>
      <c r="L51">
        <f>VLOOKUP(B51,Performance!$A:$L,12,FALSE)</f>
        <v>2</v>
      </c>
      <c r="M51" t="str">
        <f t="shared" si="0"/>
        <v>OK</v>
      </c>
      <c r="N51" t="str">
        <f t="shared" si="1"/>
        <v>LOW</v>
      </c>
      <c r="O51" t="str">
        <f t="shared" si="2"/>
        <v>Performance Risk</v>
      </c>
    </row>
    <row r="52" spans="2:15" x14ac:dyDescent="0.3">
      <c r="B52" t="str">
        <f>Employees!A49</f>
        <v>EMP048</v>
      </c>
      <c r="C52" t="str">
        <f>Employees!B49</f>
        <v>Sophia Jones</v>
      </c>
      <c r="D52" t="str">
        <f>Employees!F49</f>
        <v>Operations</v>
      </c>
      <c r="E52" t="str">
        <f>Employees!G49</f>
        <v>Operations Manager</v>
      </c>
      <c r="F52" t="str">
        <f>Employees!H49</f>
        <v>Meera Nair</v>
      </c>
      <c r="G52" s="14">
        <f>Attendance!G49</f>
        <v>1</v>
      </c>
      <c r="H52">
        <f>IF(OR(Attendance!C49="P",Attendance!C49="WFH"),1,0)</f>
        <v>1</v>
      </c>
      <c r="I52">
        <f>IF(Attendance!C49="A",1,0)</f>
        <v>0</v>
      </c>
      <c r="J52">
        <f>0</f>
        <v>0</v>
      </c>
      <c r="K52">
        <f>Attendance!F49</f>
        <v>0</v>
      </c>
      <c r="L52">
        <f>VLOOKUP(B52,Performance!$A:$L,12,FALSE)</f>
        <v>3.66</v>
      </c>
      <c r="M52" t="str">
        <f t="shared" si="0"/>
        <v>OK</v>
      </c>
      <c r="N52" t="str">
        <f t="shared" si="1"/>
        <v>OK</v>
      </c>
      <c r="O52" t="str">
        <f t="shared" si="2"/>
        <v>OK</v>
      </c>
    </row>
    <row r="53" spans="2:15" x14ac:dyDescent="0.3">
      <c r="B53" t="str">
        <f>Employees!A50</f>
        <v>EMP049</v>
      </c>
      <c r="C53" t="str">
        <f>Employees!B50</f>
        <v>William Jones</v>
      </c>
      <c r="D53" t="str">
        <f>Employees!F50</f>
        <v>IT</v>
      </c>
      <c r="E53" t="str">
        <f>Employees!G50</f>
        <v>Software Engineer</v>
      </c>
      <c r="F53" t="str">
        <f>Employees!H50</f>
        <v>Manish Sharma</v>
      </c>
      <c r="G53" s="14">
        <f>Attendance!G50</f>
        <v>1</v>
      </c>
      <c r="H53">
        <f>IF(OR(Attendance!C50="P",Attendance!C50="WFH"),1,0)</f>
        <v>1</v>
      </c>
      <c r="I53">
        <f>IF(Attendance!C50="A",1,0)</f>
        <v>0</v>
      </c>
      <c r="J53">
        <f>0</f>
        <v>0</v>
      </c>
      <c r="K53">
        <f>Attendance!F50</f>
        <v>0</v>
      </c>
      <c r="L53">
        <f>VLOOKUP(B53,Performance!$A:$L,12,FALSE)</f>
        <v>3.34</v>
      </c>
      <c r="M53" t="str">
        <f t="shared" si="0"/>
        <v>OK</v>
      </c>
      <c r="N53" t="str">
        <f t="shared" si="1"/>
        <v>OK</v>
      </c>
      <c r="O53" t="str">
        <f t="shared" si="2"/>
        <v>OK</v>
      </c>
    </row>
    <row r="54" spans="2:15" x14ac:dyDescent="0.3">
      <c r="B54" t="str">
        <f>Employees!A51</f>
        <v>EMP050</v>
      </c>
      <c r="C54" t="str">
        <f>Employees!B51</f>
        <v>Isabella Jones</v>
      </c>
      <c r="D54" t="str">
        <f>Employees!F51</f>
        <v>Finance</v>
      </c>
      <c r="E54" t="str">
        <f>Employees!G51</f>
        <v>Accountant</v>
      </c>
      <c r="F54" t="str">
        <f>Employees!H51</f>
        <v>Suresh Kumar</v>
      </c>
      <c r="G54" s="14">
        <f>Attendance!G51</f>
        <v>1</v>
      </c>
      <c r="H54">
        <f>IF(OR(Attendance!C51="P",Attendance!C51="WFH"),1,0)</f>
        <v>1</v>
      </c>
      <c r="I54">
        <f>IF(Attendance!C51="A",1,0)</f>
        <v>0</v>
      </c>
      <c r="J54">
        <f>0</f>
        <v>0</v>
      </c>
      <c r="K54">
        <f>Attendance!F51</f>
        <v>0</v>
      </c>
      <c r="L54">
        <f>VLOOKUP(B54,Performance!$A:$L,12,FALSE)</f>
        <v>4</v>
      </c>
      <c r="M54" t="str">
        <f t="shared" si="0"/>
        <v>OK</v>
      </c>
      <c r="N54" t="str">
        <f t="shared" si="1"/>
        <v>OK</v>
      </c>
      <c r="O54" t="str">
        <f t="shared" si="2"/>
        <v>OK</v>
      </c>
    </row>
    <row r="55" spans="2:15" x14ac:dyDescent="0.3">
      <c r="B55" t="str">
        <f>Employees!A52</f>
        <v>EMP051</v>
      </c>
      <c r="C55" t="str">
        <f>Employees!B52</f>
        <v>Liam Garcia</v>
      </c>
      <c r="D55" t="str">
        <f>Employees!F52</f>
        <v>IT</v>
      </c>
      <c r="E55" t="str">
        <f>Employees!G52</f>
        <v>Software Engineer</v>
      </c>
      <c r="F55" t="str">
        <f>Employees!H52</f>
        <v>Manish Sharma</v>
      </c>
      <c r="G55" s="14">
        <f>Attendance!G52</f>
        <v>1</v>
      </c>
      <c r="H55">
        <f>IF(OR(Attendance!C52="P",Attendance!C52="WFH"),1,0)</f>
        <v>1</v>
      </c>
      <c r="I55">
        <f>IF(Attendance!C52="A",1,0)</f>
        <v>0</v>
      </c>
      <c r="J55">
        <f>0</f>
        <v>0</v>
      </c>
      <c r="K55">
        <f>Attendance!F52</f>
        <v>0</v>
      </c>
      <c r="L55">
        <f>VLOOKUP(B55,Performance!$A:$L,12,FALSE)</f>
        <v>4.66</v>
      </c>
      <c r="M55" t="str">
        <f t="shared" si="0"/>
        <v>OK</v>
      </c>
      <c r="N55" t="str">
        <f t="shared" si="1"/>
        <v>OK</v>
      </c>
      <c r="O55" t="str">
        <f t="shared" si="2"/>
        <v>OK</v>
      </c>
    </row>
    <row r="56" spans="2:15" x14ac:dyDescent="0.3">
      <c r="B56" t="str">
        <f>Employees!A53</f>
        <v>EMP052</v>
      </c>
      <c r="C56" t="str">
        <f>Employees!B53</f>
        <v>Emma Garcia</v>
      </c>
      <c r="D56" t="str">
        <f>Employees!F53</f>
        <v>HR</v>
      </c>
      <c r="E56" t="str">
        <f>Employees!G53</f>
        <v>HR Executive</v>
      </c>
      <c r="F56" t="str">
        <f>Employees!H53</f>
        <v>Anita Desai</v>
      </c>
      <c r="G56" s="14">
        <f>Attendance!G53</f>
        <v>1</v>
      </c>
      <c r="H56">
        <f>IF(OR(Attendance!C53="P",Attendance!C53="WFH"),1,0)</f>
        <v>1</v>
      </c>
      <c r="I56">
        <f>IF(Attendance!C53="A",1,0)</f>
        <v>0</v>
      </c>
      <c r="J56">
        <f>0</f>
        <v>0</v>
      </c>
      <c r="K56">
        <f>Attendance!F53</f>
        <v>0</v>
      </c>
      <c r="L56">
        <f>VLOOKUP(B56,Performance!$A:$L,12,FALSE)</f>
        <v>3</v>
      </c>
      <c r="M56" t="str">
        <f t="shared" si="0"/>
        <v>OK</v>
      </c>
      <c r="N56" t="str">
        <f t="shared" si="1"/>
        <v>OK</v>
      </c>
      <c r="O56" t="str">
        <f t="shared" si="2"/>
        <v>OK</v>
      </c>
    </row>
    <row r="57" spans="2:15" x14ac:dyDescent="0.3">
      <c r="B57" t="str">
        <f>Employees!A54</f>
        <v>EMP053</v>
      </c>
      <c r="C57" t="str">
        <f>Employees!B54</f>
        <v>Noah Garcia</v>
      </c>
      <c r="D57" t="str">
        <f>Employees!F54</f>
        <v>Finance</v>
      </c>
      <c r="E57" t="str">
        <f>Employees!G54</f>
        <v>Accountant</v>
      </c>
      <c r="F57" t="str">
        <f>Employees!H54</f>
        <v>Suresh Kumar</v>
      </c>
      <c r="G57" s="14">
        <f>Attendance!G54</f>
        <v>1</v>
      </c>
      <c r="H57">
        <f>IF(OR(Attendance!C54="P",Attendance!C54="WFH"),1,0)</f>
        <v>1</v>
      </c>
      <c r="I57">
        <f>IF(Attendance!C54="A",1,0)</f>
        <v>0</v>
      </c>
      <c r="J57">
        <f>0</f>
        <v>0</v>
      </c>
      <c r="K57">
        <f>Attendance!F54</f>
        <v>0</v>
      </c>
      <c r="L57">
        <f>VLOOKUP(B57,Performance!$A:$L,12,FALSE)</f>
        <v>4.24</v>
      </c>
      <c r="M57" t="str">
        <f t="shared" si="0"/>
        <v>OK</v>
      </c>
      <c r="N57" t="str">
        <f t="shared" si="1"/>
        <v>OK</v>
      </c>
      <c r="O57" t="str">
        <f t="shared" si="2"/>
        <v>OK</v>
      </c>
    </row>
    <row r="58" spans="2:15" x14ac:dyDescent="0.3">
      <c r="B58" t="str">
        <f>Employees!A55</f>
        <v>EMP054</v>
      </c>
      <c r="C58" t="str">
        <f>Employees!B55</f>
        <v>Olivia Garcia</v>
      </c>
      <c r="D58" t="str">
        <f>Employees!F55</f>
        <v>Operations</v>
      </c>
      <c r="E58" t="str">
        <f>Employees!G55</f>
        <v>Operations Associate</v>
      </c>
      <c r="F58" t="str">
        <f>Employees!H55</f>
        <v>Meera Nair</v>
      </c>
      <c r="G58" s="14">
        <f>Attendance!G55</f>
        <v>1</v>
      </c>
      <c r="H58">
        <f>IF(OR(Attendance!C55="P",Attendance!C55="WFH"),1,0)</f>
        <v>1</v>
      </c>
      <c r="I58">
        <f>IF(Attendance!C55="A",1,0)</f>
        <v>0</v>
      </c>
      <c r="J58">
        <f>0</f>
        <v>0</v>
      </c>
      <c r="K58">
        <f>Attendance!F55</f>
        <v>0</v>
      </c>
      <c r="L58">
        <f>VLOOKUP(B58,Performance!$A:$L,12,FALSE)</f>
        <v>5</v>
      </c>
      <c r="M58" t="str">
        <f t="shared" si="0"/>
        <v>OK</v>
      </c>
      <c r="N58" t="str">
        <f t="shared" si="1"/>
        <v>OK</v>
      </c>
      <c r="O58" t="str">
        <f t="shared" si="2"/>
        <v>OK</v>
      </c>
    </row>
    <row r="59" spans="2:15" x14ac:dyDescent="0.3">
      <c r="B59" t="str">
        <f>Employees!A56</f>
        <v>EMP055</v>
      </c>
      <c r="C59" t="str">
        <f>Employees!B56</f>
        <v>Oliver Garcia</v>
      </c>
      <c r="D59" t="str">
        <f>Employees!F56</f>
        <v>IT</v>
      </c>
      <c r="E59" t="str">
        <f>Employees!G56</f>
        <v>Team Lead</v>
      </c>
      <c r="F59" t="str">
        <f>Employees!H56</f>
        <v>Manish Sharma</v>
      </c>
      <c r="G59" s="14">
        <f>Attendance!G56</f>
        <v>0</v>
      </c>
      <c r="H59">
        <f>IF(OR(Attendance!C56="P",Attendance!C56="WFH"),1,0)</f>
        <v>0</v>
      </c>
      <c r="I59">
        <f>IF(Attendance!C56="A",1,0)</f>
        <v>1</v>
      </c>
      <c r="J59">
        <f>0</f>
        <v>0</v>
      </c>
      <c r="K59">
        <f>Attendance!F56</f>
        <v>0</v>
      </c>
      <c r="L59">
        <f>VLOOKUP(B59,Performance!$A:$L,12,FALSE)</f>
        <v>2.34</v>
      </c>
      <c r="M59" t="str">
        <f t="shared" si="0"/>
        <v>LOW</v>
      </c>
      <c r="N59" t="str">
        <f t="shared" si="1"/>
        <v>LOW</v>
      </c>
      <c r="O59" t="str">
        <f t="shared" si="2"/>
        <v>High Risk</v>
      </c>
    </row>
    <row r="60" spans="2:15" x14ac:dyDescent="0.3">
      <c r="B60" t="str">
        <f>Employees!A57</f>
        <v>EMP056</v>
      </c>
      <c r="C60" t="str">
        <f>Employees!B57</f>
        <v>Ava Garcia</v>
      </c>
      <c r="D60" t="str">
        <f>Employees!F57</f>
        <v>HR</v>
      </c>
      <c r="E60" t="str">
        <f>Employees!G57</f>
        <v>HR Manager</v>
      </c>
      <c r="F60" t="str">
        <f>Employees!H57</f>
        <v>Anita Desai</v>
      </c>
      <c r="G60" s="14">
        <f>Attendance!G57</f>
        <v>1</v>
      </c>
      <c r="H60">
        <f>IF(OR(Attendance!C57="P",Attendance!C57="WFH"),1,0)</f>
        <v>1</v>
      </c>
      <c r="I60">
        <f>IF(Attendance!C57="A",1,0)</f>
        <v>0</v>
      </c>
      <c r="J60">
        <f>0</f>
        <v>0</v>
      </c>
      <c r="K60">
        <f>Attendance!F57</f>
        <v>1</v>
      </c>
      <c r="L60">
        <f>VLOOKUP(B60,Performance!$A:$L,12,FALSE)</f>
        <v>4</v>
      </c>
      <c r="M60" t="str">
        <f t="shared" si="0"/>
        <v>OK</v>
      </c>
      <c r="N60" t="str">
        <f t="shared" si="1"/>
        <v>OK</v>
      </c>
      <c r="O60" t="str">
        <f t="shared" si="2"/>
        <v>OK</v>
      </c>
    </row>
    <row r="61" spans="2:15" x14ac:dyDescent="0.3">
      <c r="B61" t="str">
        <f>Employees!A58</f>
        <v>EMP057</v>
      </c>
      <c r="C61" t="str">
        <f>Employees!B58</f>
        <v>Elijah Garcia</v>
      </c>
      <c r="D61" t="str">
        <f>Employees!F58</f>
        <v>Finance</v>
      </c>
      <c r="E61" t="str">
        <f>Employees!G58</f>
        <v>Financial Analyst</v>
      </c>
      <c r="F61" t="str">
        <f>Employees!H58</f>
        <v>Suresh Kumar</v>
      </c>
      <c r="G61" s="14">
        <f>Attendance!G58</f>
        <v>1</v>
      </c>
      <c r="H61">
        <f>IF(OR(Attendance!C58="P",Attendance!C58="WFH"),1,0)</f>
        <v>1</v>
      </c>
      <c r="I61">
        <f>IF(Attendance!C58="A",1,0)</f>
        <v>0</v>
      </c>
      <c r="J61">
        <f>0</f>
        <v>0</v>
      </c>
      <c r="K61">
        <f>Attendance!F58</f>
        <v>0</v>
      </c>
      <c r="L61">
        <f>VLOOKUP(B61,Performance!$A:$L,12,FALSE)</f>
        <v>4.66</v>
      </c>
      <c r="M61" t="str">
        <f t="shared" si="0"/>
        <v>OK</v>
      </c>
      <c r="N61" t="str">
        <f t="shared" si="1"/>
        <v>OK</v>
      </c>
      <c r="O61" t="str">
        <f t="shared" si="2"/>
        <v>OK</v>
      </c>
    </row>
    <row r="62" spans="2:15" x14ac:dyDescent="0.3">
      <c r="B62" t="str">
        <f>Employees!A59</f>
        <v>EMP058</v>
      </c>
      <c r="C62" t="str">
        <f>Employees!B59</f>
        <v>Sophia Garcia</v>
      </c>
      <c r="D62" t="str">
        <f>Employees!F59</f>
        <v>Operations</v>
      </c>
      <c r="E62" t="str">
        <f>Employees!G59</f>
        <v>Operations Manager</v>
      </c>
      <c r="F62" t="str">
        <f>Employees!H59</f>
        <v>Meera Nair</v>
      </c>
      <c r="G62" s="14">
        <f>Attendance!G59</f>
        <v>1</v>
      </c>
      <c r="H62">
        <f>IF(OR(Attendance!C59="P",Attendance!C59="WFH"),1,0)</f>
        <v>1</v>
      </c>
      <c r="I62">
        <f>IF(Attendance!C59="A",1,0)</f>
        <v>0</v>
      </c>
      <c r="J62">
        <f>0</f>
        <v>0</v>
      </c>
      <c r="K62">
        <f>Attendance!F59</f>
        <v>0</v>
      </c>
      <c r="L62">
        <f>VLOOKUP(B62,Performance!$A:$L,12,FALSE)</f>
        <v>3.22</v>
      </c>
      <c r="M62" t="str">
        <f t="shared" si="0"/>
        <v>OK</v>
      </c>
      <c r="N62" t="str">
        <f t="shared" si="1"/>
        <v>OK</v>
      </c>
      <c r="O62" t="str">
        <f t="shared" si="2"/>
        <v>OK</v>
      </c>
    </row>
    <row r="63" spans="2:15" x14ac:dyDescent="0.3">
      <c r="B63" t="str">
        <f>Employees!A60</f>
        <v>EMP059</v>
      </c>
      <c r="C63" t="str">
        <f>Employees!B60</f>
        <v>William Garcia</v>
      </c>
      <c r="D63" t="str">
        <f>Employees!F60</f>
        <v>IT</v>
      </c>
      <c r="E63" t="str">
        <f>Employees!G60</f>
        <v>Software Engineer</v>
      </c>
      <c r="F63" t="str">
        <f>Employees!H60</f>
        <v>Manish Sharma</v>
      </c>
      <c r="G63" s="14">
        <f>Attendance!G60</f>
        <v>1</v>
      </c>
      <c r="H63">
        <f>IF(OR(Attendance!C60="P",Attendance!C60="WFH"),1,0)</f>
        <v>1</v>
      </c>
      <c r="I63">
        <f>IF(Attendance!C60="A",1,0)</f>
        <v>0</v>
      </c>
      <c r="J63">
        <f>0</f>
        <v>0</v>
      </c>
      <c r="K63">
        <f>Attendance!F60</f>
        <v>0</v>
      </c>
      <c r="L63">
        <f>VLOOKUP(B63,Performance!$A:$L,12,FALSE)</f>
        <v>4</v>
      </c>
      <c r="M63" t="str">
        <f t="shared" si="0"/>
        <v>OK</v>
      </c>
      <c r="N63" t="str">
        <f t="shared" si="1"/>
        <v>OK</v>
      </c>
      <c r="O63" t="str">
        <f t="shared" si="2"/>
        <v>OK</v>
      </c>
    </row>
    <row r="64" spans="2:15" x14ac:dyDescent="0.3">
      <c r="B64" t="str">
        <f>Employees!A61</f>
        <v>EMP060</v>
      </c>
      <c r="C64" t="str">
        <f>Employees!B61</f>
        <v>Isabella Garcia</v>
      </c>
      <c r="D64" t="str">
        <f>Employees!F61</f>
        <v>Finance</v>
      </c>
      <c r="E64" t="str">
        <f>Employees!G61</f>
        <v>Accountant</v>
      </c>
      <c r="F64" t="str">
        <f>Employees!H61</f>
        <v>Suresh Kumar</v>
      </c>
      <c r="G64" s="14">
        <f>Attendance!G61</f>
        <v>1</v>
      </c>
      <c r="H64">
        <f>IF(OR(Attendance!C61="P",Attendance!C61="WFH"),1,0)</f>
        <v>1</v>
      </c>
      <c r="I64">
        <f>IF(Attendance!C61="A",1,0)</f>
        <v>0</v>
      </c>
      <c r="J64">
        <f>0</f>
        <v>0</v>
      </c>
      <c r="K64">
        <f>Attendance!F61</f>
        <v>0</v>
      </c>
      <c r="L64">
        <f>VLOOKUP(B64,Performance!$A:$L,12,FALSE)</f>
        <v>5</v>
      </c>
      <c r="M64" t="str">
        <f t="shared" si="0"/>
        <v>OK</v>
      </c>
      <c r="N64" t="str">
        <f t="shared" si="1"/>
        <v>OK</v>
      </c>
      <c r="O64" t="str">
        <f t="shared" si="2"/>
        <v>OK</v>
      </c>
    </row>
    <row r="65" spans="2:15" x14ac:dyDescent="0.3">
      <c r="B65" t="str">
        <f>Employees!A62</f>
        <v>EMP061</v>
      </c>
      <c r="C65" t="str">
        <f>Employees!B62</f>
        <v>Liam Miller</v>
      </c>
      <c r="D65" t="str">
        <f>Employees!F62</f>
        <v>IT</v>
      </c>
      <c r="E65" t="str">
        <f>Employees!G62</f>
        <v>Software Engineer</v>
      </c>
      <c r="F65" t="str">
        <f>Employees!H62</f>
        <v>Manish Sharma</v>
      </c>
      <c r="G65" s="14">
        <f>Attendance!G62</f>
        <v>1</v>
      </c>
      <c r="H65">
        <f>IF(OR(Attendance!C62="P",Attendance!C62="WFH"),1,0)</f>
        <v>1</v>
      </c>
      <c r="I65">
        <f>IF(Attendance!C62="A",1,0)</f>
        <v>0</v>
      </c>
      <c r="J65">
        <f>0</f>
        <v>0</v>
      </c>
      <c r="K65">
        <f>Attendance!F62</f>
        <v>0</v>
      </c>
      <c r="L65">
        <f>VLOOKUP(B65,Performance!$A:$L,12,FALSE)</f>
        <v>2</v>
      </c>
      <c r="M65" t="str">
        <f t="shared" si="0"/>
        <v>OK</v>
      </c>
      <c r="N65" t="str">
        <f t="shared" si="1"/>
        <v>LOW</v>
      </c>
      <c r="O65" t="str">
        <f t="shared" si="2"/>
        <v>Performance Risk</v>
      </c>
    </row>
    <row r="66" spans="2:15" x14ac:dyDescent="0.3">
      <c r="B66" t="str">
        <f>Employees!A63</f>
        <v>EMP062</v>
      </c>
      <c r="C66" t="str">
        <f>Employees!B63</f>
        <v>Emma Miller</v>
      </c>
      <c r="D66" t="str">
        <f>Employees!F63</f>
        <v>HR</v>
      </c>
      <c r="E66" t="str">
        <f>Employees!G63</f>
        <v>HR Executive</v>
      </c>
      <c r="F66" t="str">
        <f>Employees!H63</f>
        <v>Anita Desai</v>
      </c>
      <c r="G66" s="14">
        <f>Attendance!G63</f>
        <v>1</v>
      </c>
      <c r="H66">
        <f>IF(OR(Attendance!C63="P",Attendance!C63="WFH"),1,0)</f>
        <v>1</v>
      </c>
      <c r="I66">
        <f>IF(Attendance!C63="A",1,0)</f>
        <v>0</v>
      </c>
      <c r="J66">
        <f>0</f>
        <v>0</v>
      </c>
      <c r="K66">
        <f>Attendance!F63</f>
        <v>0</v>
      </c>
      <c r="L66">
        <f>VLOOKUP(B66,Performance!$A:$L,12,FALSE)</f>
        <v>3.66</v>
      </c>
      <c r="M66" t="str">
        <f t="shared" si="0"/>
        <v>OK</v>
      </c>
      <c r="N66" t="str">
        <f t="shared" si="1"/>
        <v>OK</v>
      </c>
      <c r="O66" t="str">
        <f t="shared" si="2"/>
        <v>OK</v>
      </c>
    </row>
    <row r="67" spans="2:15" x14ac:dyDescent="0.3">
      <c r="B67" t="str">
        <f>Employees!A64</f>
        <v>EMP063</v>
      </c>
      <c r="C67" t="str">
        <f>Employees!B64</f>
        <v>Noah Miller</v>
      </c>
      <c r="D67" t="str">
        <f>Employees!F64</f>
        <v>Finance</v>
      </c>
      <c r="E67" t="str">
        <f>Employees!G64</f>
        <v>Accountant</v>
      </c>
      <c r="F67" t="str">
        <f>Employees!H64</f>
        <v>Suresh Kumar</v>
      </c>
      <c r="G67" s="14">
        <f>Attendance!G64</f>
        <v>1</v>
      </c>
      <c r="H67">
        <f>IF(OR(Attendance!C64="P",Attendance!C64="WFH"),1,0)</f>
        <v>1</v>
      </c>
      <c r="I67">
        <f>IF(Attendance!C64="A",1,0)</f>
        <v>0</v>
      </c>
      <c r="J67">
        <f>0</f>
        <v>0</v>
      </c>
      <c r="K67">
        <f>Attendance!F64</f>
        <v>0</v>
      </c>
      <c r="L67">
        <f>VLOOKUP(B67,Performance!$A:$L,12,FALSE)</f>
        <v>3.34</v>
      </c>
      <c r="M67" t="str">
        <f t="shared" si="0"/>
        <v>OK</v>
      </c>
      <c r="N67" t="str">
        <f t="shared" si="1"/>
        <v>OK</v>
      </c>
      <c r="O67" t="str">
        <f t="shared" si="2"/>
        <v>OK</v>
      </c>
    </row>
    <row r="68" spans="2:15" x14ac:dyDescent="0.3">
      <c r="B68" t="str">
        <f>Employees!A65</f>
        <v>EMP064</v>
      </c>
      <c r="C68" t="str">
        <f>Employees!B65</f>
        <v>Olivia Miller</v>
      </c>
      <c r="D68" t="str">
        <f>Employees!F65</f>
        <v>Operations</v>
      </c>
      <c r="E68" t="str">
        <f>Employees!G65</f>
        <v>Operations Associate</v>
      </c>
      <c r="F68" t="str">
        <f>Employees!H65</f>
        <v>Meera Nair</v>
      </c>
      <c r="G68" s="14">
        <f>Attendance!G65</f>
        <v>1</v>
      </c>
      <c r="H68">
        <f>IF(OR(Attendance!C65="P",Attendance!C65="WFH"),1,0)</f>
        <v>1</v>
      </c>
      <c r="I68">
        <f>IF(Attendance!C65="A",1,0)</f>
        <v>0</v>
      </c>
      <c r="J68">
        <f>0</f>
        <v>0</v>
      </c>
      <c r="K68">
        <f>Attendance!F65</f>
        <v>0</v>
      </c>
      <c r="L68">
        <f>VLOOKUP(B68,Performance!$A:$L,12,FALSE)</f>
        <v>4</v>
      </c>
      <c r="M68" t="str">
        <f t="shared" si="0"/>
        <v>OK</v>
      </c>
      <c r="N68" t="str">
        <f t="shared" si="1"/>
        <v>OK</v>
      </c>
      <c r="O68" t="str">
        <f t="shared" si="2"/>
        <v>OK</v>
      </c>
    </row>
    <row r="69" spans="2:15" x14ac:dyDescent="0.3">
      <c r="B69" t="str">
        <f>Employees!A66</f>
        <v>EMP065</v>
      </c>
      <c r="C69" t="str">
        <f>Employees!B66</f>
        <v>Oliver Miller</v>
      </c>
      <c r="D69" t="str">
        <f>Employees!F66</f>
        <v>IT</v>
      </c>
      <c r="E69" t="str">
        <f>Employees!G66</f>
        <v>Team Lead</v>
      </c>
      <c r="F69" t="str">
        <f>Employees!H66</f>
        <v>Manish Sharma</v>
      </c>
      <c r="G69" s="14">
        <f>Attendance!G66</f>
        <v>1</v>
      </c>
      <c r="H69">
        <f>IF(OR(Attendance!C66="P",Attendance!C66="WFH"),1,0)</f>
        <v>1</v>
      </c>
      <c r="I69">
        <f>IF(Attendance!C66="A",1,0)</f>
        <v>0</v>
      </c>
      <c r="J69">
        <f>0</f>
        <v>0</v>
      </c>
      <c r="K69">
        <f>Attendance!F66</f>
        <v>0</v>
      </c>
      <c r="L69">
        <f>VLOOKUP(B69,Performance!$A:$L,12,FALSE)</f>
        <v>4.66</v>
      </c>
      <c r="M69" t="str">
        <f t="shared" si="0"/>
        <v>OK</v>
      </c>
      <c r="N69" t="str">
        <f t="shared" si="1"/>
        <v>OK</v>
      </c>
      <c r="O69" t="str">
        <f t="shared" si="2"/>
        <v>OK</v>
      </c>
    </row>
    <row r="70" spans="2:15" x14ac:dyDescent="0.3">
      <c r="B70" t="str">
        <f>Employees!A67</f>
        <v>EMP066</v>
      </c>
      <c r="C70" t="str">
        <f>Employees!B67</f>
        <v>Ava Miller</v>
      </c>
      <c r="D70" t="str">
        <f>Employees!F67</f>
        <v>HR</v>
      </c>
      <c r="E70" t="str">
        <f>Employees!G67</f>
        <v>HR Manager</v>
      </c>
      <c r="F70" t="str">
        <f>Employees!H67</f>
        <v>Anita Desai</v>
      </c>
      <c r="G70" s="14">
        <f>Attendance!G67</f>
        <v>1</v>
      </c>
      <c r="H70">
        <f>IF(OR(Attendance!C67="P",Attendance!C67="WFH"),1,0)</f>
        <v>1</v>
      </c>
      <c r="I70">
        <f>IF(Attendance!C67="A",1,0)</f>
        <v>0</v>
      </c>
      <c r="J70">
        <f>0</f>
        <v>0</v>
      </c>
      <c r="K70">
        <f>Attendance!F67</f>
        <v>0</v>
      </c>
      <c r="L70">
        <f>VLOOKUP(B70,Performance!$A:$L,12,FALSE)</f>
        <v>3</v>
      </c>
      <c r="M70" t="str">
        <f t="shared" ref="M70:M104" si="3">IF(G70&lt;90%,"LOW","OK")</f>
        <v>OK</v>
      </c>
      <c r="N70" t="str">
        <f t="shared" ref="N70:N104" si="4">IF(L70&lt;3,"LOW","OK")</f>
        <v>OK</v>
      </c>
      <c r="O70" t="str">
        <f t="shared" ref="O70:O104" si="5">IF(AND(G70&lt;90%,L70&lt;3),"High Risk",IF(G70&lt;90%,"Attendance Risk",IF(L70&lt;3,"Performance Risk","OK")))</f>
        <v>OK</v>
      </c>
    </row>
    <row r="71" spans="2:15" x14ac:dyDescent="0.3">
      <c r="B71" t="str">
        <f>Employees!A68</f>
        <v>EMP067</v>
      </c>
      <c r="C71" t="str">
        <f>Employees!B68</f>
        <v>Elijah Miller</v>
      </c>
      <c r="D71" t="str">
        <f>Employees!F68</f>
        <v>Finance</v>
      </c>
      <c r="E71" t="str">
        <f>Employees!G68</f>
        <v>Financial Analyst</v>
      </c>
      <c r="F71" t="str">
        <f>Employees!H68</f>
        <v>Suresh Kumar</v>
      </c>
      <c r="G71" s="14">
        <f>Attendance!G68</f>
        <v>1</v>
      </c>
      <c r="H71">
        <f>IF(OR(Attendance!C68="P",Attendance!C68="WFH"),1,0)</f>
        <v>1</v>
      </c>
      <c r="I71">
        <f>IF(Attendance!C68="A",1,0)</f>
        <v>0</v>
      </c>
      <c r="J71">
        <f>0</f>
        <v>0</v>
      </c>
      <c r="K71">
        <f>Attendance!F68</f>
        <v>0</v>
      </c>
      <c r="L71">
        <f>VLOOKUP(B71,Performance!$A:$L,12,FALSE)</f>
        <v>4.24</v>
      </c>
      <c r="M71" t="str">
        <f t="shared" si="3"/>
        <v>OK</v>
      </c>
      <c r="N71" t="str">
        <f t="shared" si="4"/>
        <v>OK</v>
      </c>
      <c r="O71" t="str">
        <f t="shared" si="5"/>
        <v>OK</v>
      </c>
    </row>
    <row r="72" spans="2:15" x14ac:dyDescent="0.3">
      <c r="B72" t="str">
        <f>Employees!A69</f>
        <v>EMP068</v>
      </c>
      <c r="C72" t="str">
        <f>Employees!B69</f>
        <v>Sophia Miller</v>
      </c>
      <c r="D72" t="str">
        <f>Employees!F69</f>
        <v>Operations</v>
      </c>
      <c r="E72" t="str">
        <f>Employees!G69</f>
        <v>Operations Manager</v>
      </c>
      <c r="F72" t="str">
        <f>Employees!H69</f>
        <v>Meera Nair</v>
      </c>
      <c r="G72" s="14">
        <f>Attendance!G69</f>
        <v>1</v>
      </c>
      <c r="H72">
        <f>IF(OR(Attendance!C69="P",Attendance!C69="WFH"),1,0)</f>
        <v>1</v>
      </c>
      <c r="I72">
        <f>IF(Attendance!C69="A",1,0)</f>
        <v>0</v>
      </c>
      <c r="J72">
        <f>0</f>
        <v>0</v>
      </c>
      <c r="K72">
        <f>Attendance!F69</f>
        <v>0</v>
      </c>
      <c r="L72">
        <f>VLOOKUP(B72,Performance!$A:$L,12,FALSE)</f>
        <v>5</v>
      </c>
      <c r="M72" t="str">
        <f t="shared" si="3"/>
        <v>OK</v>
      </c>
      <c r="N72" t="str">
        <f t="shared" si="4"/>
        <v>OK</v>
      </c>
      <c r="O72" t="str">
        <f t="shared" si="5"/>
        <v>OK</v>
      </c>
    </row>
    <row r="73" spans="2:15" x14ac:dyDescent="0.3">
      <c r="B73" t="str">
        <f>Employees!A70</f>
        <v>EMP069</v>
      </c>
      <c r="C73" t="str">
        <f>Employees!B70</f>
        <v>William Miller</v>
      </c>
      <c r="D73" t="str">
        <f>Employees!F70</f>
        <v>IT</v>
      </c>
      <c r="E73" t="str">
        <f>Employees!G70</f>
        <v>Software Engineer</v>
      </c>
      <c r="F73" t="str">
        <f>Employees!H70</f>
        <v>Manish Sharma</v>
      </c>
      <c r="G73" s="14">
        <f>Attendance!G70</f>
        <v>1</v>
      </c>
      <c r="H73">
        <f>IF(OR(Attendance!C70="P",Attendance!C70="WFH"),1,0)</f>
        <v>1</v>
      </c>
      <c r="I73">
        <f>IF(Attendance!C70="A",1,0)</f>
        <v>0</v>
      </c>
      <c r="J73">
        <f>0</f>
        <v>0</v>
      </c>
      <c r="K73">
        <f>Attendance!F70</f>
        <v>0</v>
      </c>
      <c r="L73">
        <f>VLOOKUP(B73,Performance!$A:$L,12,FALSE)</f>
        <v>2.34</v>
      </c>
      <c r="M73" t="str">
        <f t="shared" si="3"/>
        <v>OK</v>
      </c>
      <c r="N73" t="str">
        <f t="shared" si="4"/>
        <v>LOW</v>
      </c>
      <c r="O73" t="str">
        <f t="shared" si="5"/>
        <v>Performance Risk</v>
      </c>
    </row>
    <row r="74" spans="2:15" x14ac:dyDescent="0.3">
      <c r="B74" t="str">
        <f>Employees!A71</f>
        <v>EMP070</v>
      </c>
      <c r="C74" t="str">
        <f>Employees!B71</f>
        <v>Isabella Miller</v>
      </c>
      <c r="D74" t="str">
        <f>Employees!F71</f>
        <v>Finance</v>
      </c>
      <c r="E74" t="str">
        <f>Employees!G71</f>
        <v>Accountant</v>
      </c>
      <c r="F74" t="str">
        <f>Employees!H71</f>
        <v>Suresh Kumar</v>
      </c>
      <c r="G74" s="14">
        <f>Attendance!G71</f>
        <v>1</v>
      </c>
      <c r="H74">
        <f>IF(OR(Attendance!C71="P",Attendance!C71="WFH"),1,0)</f>
        <v>1</v>
      </c>
      <c r="I74">
        <f>IF(Attendance!C71="A",1,0)</f>
        <v>0</v>
      </c>
      <c r="J74">
        <f>0</f>
        <v>0</v>
      </c>
      <c r="K74">
        <f>Attendance!F71</f>
        <v>0</v>
      </c>
      <c r="L74">
        <f>VLOOKUP(B74,Performance!$A:$L,12,FALSE)</f>
        <v>4</v>
      </c>
      <c r="M74" t="str">
        <f t="shared" si="3"/>
        <v>OK</v>
      </c>
      <c r="N74" t="str">
        <f t="shared" si="4"/>
        <v>OK</v>
      </c>
      <c r="O74" t="str">
        <f t="shared" si="5"/>
        <v>OK</v>
      </c>
    </row>
    <row r="75" spans="2:15" x14ac:dyDescent="0.3">
      <c r="B75" t="str">
        <f>Employees!A72</f>
        <v>EMP071</v>
      </c>
      <c r="C75" t="str">
        <f>Employees!B72</f>
        <v>Liam Davis</v>
      </c>
      <c r="D75" t="str">
        <f>Employees!F72</f>
        <v>IT</v>
      </c>
      <c r="E75" t="str">
        <f>Employees!G72</f>
        <v>Software Engineer</v>
      </c>
      <c r="F75" t="str">
        <f>Employees!H72</f>
        <v>Manish Sharma</v>
      </c>
      <c r="G75" s="14">
        <f>Attendance!G72</f>
        <v>1</v>
      </c>
      <c r="H75">
        <f>IF(OR(Attendance!C72="P",Attendance!C72="WFH"),1,0)</f>
        <v>1</v>
      </c>
      <c r="I75">
        <f>IF(Attendance!C72="A",1,0)</f>
        <v>0</v>
      </c>
      <c r="J75">
        <f>0</f>
        <v>0</v>
      </c>
      <c r="K75">
        <f>Attendance!F72</f>
        <v>0</v>
      </c>
      <c r="L75">
        <f>VLOOKUP(B75,Performance!$A:$L,12,FALSE)</f>
        <v>4.66</v>
      </c>
      <c r="M75" t="str">
        <f t="shared" si="3"/>
        <v>OK</v>
      </c>
      <c r="N75" t="str">
        <f t="shared" si="4"/>
        <v>OK</v>
      </c>
      <c r="O75" t="str">
        <f t="shared" si="5"/>
        <v>OK</v>
      </c>
    </row>
    <row r="76" spans="2:15" x14ac:dyDescent="0.3">
      <c r="B76" t="str">
        <f>Employees!A73</f>
        <v>EMP072</v>
      </c>
      <c r="C76" t="str">
        <f>Employees!B73</f>
        <v>Emma Davis</v>
      </c>
      <c r="D76" t="str">
        <f>Employees!F73</f>
        <v>HR</v>
      </c>
      <c r="E76" t="str">
        <f>Employees!G73</f>
        <v>HR Executive</v>
      </c>
      <c r="F76" t="str">
        <f>Employees!H73</f>
        <v>Anita Desai</v>
      </c>
      <c r="G76" s="14">
        <f>Attendance!G73</f>
        <v>1</v>
      </c>
      <c r="H76">
        <f>IF(OR(Attendance!C73="P",Attendance!C73="WFH"),1,0)</f>
        <v>1</v>
      </c>
      <c r="I76">
        <f>IF(Attendance!C73="A",1,0)</f>
        <v>0</v>
      </c>
      <c r="J76">
        <f>0</f>
        <v>0</v>
      </c>
      <c r="K76">
        <f>Attendance!F73</f>
        <v>0</v>
      </c>
      <c r="L76">
        <f>VLOOKUP(B76,Performance!$A:$L,12,FALSE)</f>
        <v>3.22</v>
      </c>
      <c r="M76" t="str">
        <f t="shared" si="3"/>
        <v>OK</v>
      </c>
      <c r="N76" t="str">
        <f t="shared" si="4"/>
        <v>OK</v>
      </c>
      <c r="O76" t="str">
        <f t="shared" si="5"/>
        <v>OK</v>
      </c>
    </row>
    <row r="77" spans="2:15" x14ac:dyDescent="0.3">
      <c r="B77" t="str">
        <f>Employees!A74</f>
        <v>EMP073</v>
      </c>
      <c r="C77" t="str">
        <f>Employees!B74</f>
        <v>Noah Davis</v>
      </c>
      <c r="D77" t="str">
        <f>Employees!F74</f>
        <v>Finance</v>
      </c>
      <c r="E77" t="str">
        <f>Employees!G74</f>
        <v>Accountant</v>
      </c>
      <c r="F77" t="str">
        <f>Employees!H74</f>
        <v>Suresh Kumar</v>
      </c>
      <c r="G77" s="14">
        <f>Attendance!G74</f>
        <v>1</v>
      </c>
      <c r="H77">
        <f>IF(OR(Attendance!C74="P",Attendance!C74="WFH"),1,0)</f>
        <v>1</v>
      </c>
      <c r="I77">
        <f>IF(Attendance!C74="A",1,0)</f>
        <v>0</v>
      </c>
      <c r="J77">
        <f>0</f>
        <v>0</v>
      </c>
      <c r="K77">
        <f>Attendance!F74</f>
        <v>0</v>
      </c>
      <c r="L77">
        <f>VLOOKUP(B77,Performance!$A:$L,12,FALSE)</f>
        <v>4</v>
      </c>
      <c r="M77" t="str">
        <f t="shared" si="3"/>
        <v>OK</v>
      </c>
      <c r="N77" t="str">
        <f t="shared" si="4"/>
        <v>OK</v>
      </c>
      <c r="O77" t="str">
        <f t="shared" si="5"/>
        <v>OK</v>
      </c>
    </row>
    <row r="78" spans="2:15" x14ac:dyDescent="0.3">
      <c r="B78" t="str">
        <f>Employees!A75</f>
        <v>EMP074</v>
      </c>
      <c r="C78" t="str">
        <f>Employees!B75</f>
        <v>Olivia Davis</v>
      </c>
      <c r="D78" t="str">
        <f>Employees!F75</f>
        <v>Operations</v>
      </c>
      <c r="E78" t="str">
        <f>Employees!G75</f>
        <v>Operations Associate</v>
      </c>
      <c r="F78" t="str">
        <f>Employees!H75</f>
        <v>Meera Nair</v>
      </c>
      <c r="G78" s="14">
        <f>Attendance!G75</f>
        <v>1</v>
      </c>
      <c r="H78">
        <f>IF(OR(Attendance!C75="P",Attendance!C75="WFH"),1,0)</f>
        <v>1</v>
      </c>
      <c r="I78">
        <f>IF(Attendance!C75="A",1,0)</f>
        <v>0</v>
      </c>
      <c r="J78">
        <f>0</f>
        <v>0</v>
      </c>
      <c r="K78">
        <f>Attendance!F75</f>
        <v>0</v>
      </c>
      <c r="L78">
        <f>VLOOKUP(B78,Performance!$A:$L,12,FALSE)</f>
        <v>5</v>
      </c>
      <c r="M78" t="str">
        <f t="shared" si="3"/>
        <v>OK</v>
      </c>
      <c r="N78" t="str">
        <f t="shared" si="4"/>
        <v>OK</v>
      </c>
      <c r="O78" t="str">
        <f t="shared" si="5"/>
        <v>OK</v>
      </c>
    </row>
    <row r="79" spans="2:15" x14ac:dyDescent="0.3">
      <c r="B79" t="str">
        <f>Employees!A76</f>
        <v>EMP075</v>
      </c>
      <c r="C79" t="str">
        <f>Employees!B76</f>
        <v>Oliver Davis</v>
      </c>
      <c r="D79" t="str">
        <f>Employees!F76</f>
        <v>IT</v>
      </c>
      <c r="E79" t="str">
        <f>Employees!G76</f>
        <v>Team Lead</v>
      </c>
      <c r="F79" t="str">
        <f>Employees!H76</f>
        <v>Manish Sharma</v>
      </c>
      <c r="G79" s="14">
        <f>Attendance!G76</f>
        <v>1</v>
      </c>
      <c r="H79">
        <f>IF(OR(Attendance!C76="P",Attendance!C76="WFH"),1,0)</f>
        <v>1</v>
      </c>
      <c r="I79">
        <f>IF(Attendance!C76="A",1,0)</f>
        <v>0</v>
      </c>
      <c r="J79">
        <f>0</f>
        <v>0</v>
      </c>
      <c r="K79">
        <f>Attendance!F76</f>
        <v>0</v>
      </c>
      <c r="L79">
        <f>VLOOKUP(B79,Performance!$A:$L,12,FALSE)</f>
        <v>2</v>
      </c>
      <c r="M79" t="str">
        <f t="shared" si="3"/>
        <v>OK</v>
      </c>
      <c r="N79" t="str">
        <f t="shared" si="4"/>
        <v>LOW</v>
      </c>
      <c r="O79" t="str">
        <f t="shared" si="5"/>
        <v>Performance Risk</v>
      </c>
    </row>
    <row r="80" spans="2:15" x14ac:dyDescent="0.3">
      <c r="B80" t="str">
        <f>Employees!A77</f>
        <v>EMP076</v>
      </c>
      <c r="C80" t="str">
        <f>Employees!B77</f>
        <v>Ava Davis</v>
      </c>
      <c r="D80" t="str">
        <f>Employees!F77</f>
        <v>HR</v>
      </c>
      <c r="E80" t="str">
        <f>Employees!G77</f>
        <v>HR Manager</v>
      </c>
      <c r="F80" t="str">
        <f>Employees!H77</f>
        <v>Anita Desai</v>
      </c>
      <c r="G80" s="14">
        <f>Attendance!G77</f>
        <v>1</v>
      </c>
      <c r="H80">
        <f>IF(OR(Attendance!C77="P",Attendance!C77="WFH"),1,0)</f>
        <v>1</v>
      </c>
      <c r="I80">
        <f>IF(Attendance!C77="A",1,0)</f>
        <v>0</v>
      </c>
      <c r="J80">
        <f>0</f>
        <v>0</v>
      </c>
      <c r="K80">
        <f>Attendance!F77</f>
        <v>0</v>
      </c>
      <c r="L80">
        <f>VLOOKUP(B80,Performance!$A:$L,12,FALSE)</f>
        <v>3.66</v>
      </c>
      <c r="M80" t="str">
        <f t="shared" si="3"/>
        <v>OK</v>
      </c>
      <c r="N80" t="str">
        <f t="shared" si="4"/>
        <v>OK</v>
      </c>
      <c r="O80" t="str">
        <f t="shared" si="5"/>
        <v>OK</v>
      </c>
    </row>
    <row r="81" spans="2:15" x14ac:dyDescent="0.3">
      <c r="B81" t="str">
        <f>Employees!A78</f>
        <v>EMP077</v>
      </c>
      <c r="C81" t="str">
        <f>Employees!B78</f>
        <v>Elijah Davis</v>
      </c>
      <c r="D81" t="str">
        <f>Employees!F78</f>
        <v>Finance</v>
      </c>
      <c r="E81" t="str">
        <f>Employees!G78</f>
        <v>Financial Analyst</v>
      </c>
      <c r="F81" t="str">
        <f>Employees!H78</f>
        <v>Suresh Kumar</v>
      </c>
      <c r="G81" s="14">
        <f>Attendance!G78</f>
        <v>1</v>
      </c>
      <c r="H81">
        <f>IF(OR(Attendance!C78="P",Attendance!C78="WFH"),1,0)</f>
        <v>1</v>
      </c>
      <c r="I81">
        <f>IF(Attendance!C78="A",1,0)</f>
        <v>0</v>
      </c>
      <c r="J81">
        <f>0</f>
        <v>0</v>
      </c>
      <c r="K81">
        <f>Attendance!F78</f>
        <v>0</v>
      </c>
      <c r="L81">
        <f>VLOOKUP(B81,Performance!$A:$L,12,FALSE)</f>
        <v>3.34</v>
      </c>
      <c r="M81" t="str">
        <f t="shared" si="3"/>
        <v>OK</v>
      </c>
      <c r="N81" t="str">
        <f t="shared" si="4"/>
        <v>OK</v>
      </c>
      <c r="O81" t="str">
        <f t="shared" si="5"/>
        <v>OK</v>
      </c>
    </row>
    <row r="82" spans="2:15" x14ac:dyDescent="0.3">
      <c r="B82" t="str">
        <f>Employees!A79</f>
        <v>EMP078</v>
      </c>
      <c r="C82" t="str">
        <f>Employees!B79</f>
        <v>Sophia Davis</v>
      </c>
      <c r="D82" t="str">
        <f>Employees!F79</f>
        <v>Operations</v>
      </c>
      <c r="E82" t="str">
        <f>Employees!G79</f>
        <v>Operations Manager</v>
      </c>
      <c r="F82" t="str">
        <f>Employees!H79</f>
        <v>Meera Nair</v>
      </c>
      <c r="G82" s="14">
        <f>Attendance!G79</f>
        <v>1</v>
      </c>
      <c r="H82">
        <f>IF(OR(Attendance!C79="P",Attendance!C79="WFH"),1,0)</f>
        <v>1</v>
      </c>
      <c r="I82">
        <f>IF(Attendance!C79="A",1,0)</f>
        <v>0</v>
      </c>
      <c r="J82">
        <f>0</f>
        <v>0</v>
      </c>
      <c r="K82">
        <f>Attendance!F79</f>
        <v>0</v>
      </c>
      <c r="L82">
        <f>VLOOKUP(B82,Performance!$A:$L,12,FALSE)</f>
        <v>4</v>
      </c>
      <c r="M82" t="str">
        <f t="shared" si="3"/>
        <v>OK</v>
      </c>
      <c r="N82" t="str">
        <f t="shared" si="4"/>
        <v>OK</v>
      </c>
      <c r="O82" t="str">
        <f t="shared" si="5"/>
        <v>OK</v>
      </c>
    </row>
    <row r="83" spans="2:15" x14ac:dyDescent="0.3">
      <c r="B83" t="str">
        <f>Employees!A80</f>
        <v>EMP079</v>
      </c>
      <c r="C83" t="str">
        <f>Employees!B80</f>
        <v>William Davis</v>
      </c>
      <c r="D83" t="str">
        <f>Employees!F80</f>
        <v>IT</v>
      </c>
      <c r="E83" t="str">
        <f>Employees!G80</f>
        <v>Software Engineer</v>
      </c>
      <c r="F83" t="str">
        <f>Employees!H80</f>
        <v>Manish Sharma</v>
      </c>
      <c r="G83" s="14">
        <f>Attendance!G80</f>
        <v>1</v>
      </c>
      <c r="H83">
        <f>IF(OR(Attendance!C80="P",Attendance!C80="WFH"),1,0)</f>
        <v>1</v>
      </c>
      <c r="I83">
        <f>IF(Attendance!C80="A",1,0)</f>
        <v>0</v>
      </c>
      <c r="J83">
        <f>0</f>
        <v>0</v>
      </c>
      <c r="K83">
        <f>Attendance!F80</f>
        <v>0</v>
      </c>
      <c r="L83">
        <f>VLOOKUP(B83,Performance!$A:$L,12,FALSE)</f>
        <v>4.66</v>
      </c>
      <c r="M83" t="str">
        <f t="shared" si="3"/>
        <v>OK</v>
      </c>
      <c r="N83" t="str">
        <f t="shared" si="4"/>
        <v>OK</v>
      </c>
      <c r="O83" t="str">
        <f t="shared" si="5"/>
        <v>OK</v>
      </c>
    </row>
    <row r="84" spans="2:15" x14ac:dyDescent="0.3">
      <c r="B84" t="str">
        <f>Employees!A81</f>
        <v>EMP080</v>
      </c>
      <c r="C84" t="str">
        <f>Employees!B81</f>
        <v>Isabella Davis</v>
      </c>
      <c r="D84" t="str">
        <f>Employees!F81</f>
        <v>Finance</v>
      </c>
      <c r="E84" t="str">
        <f>Employees!G81</f>
        <v>Accountant</v>
      </c>
      <c r="F84" t="str">
        <f>Employees!H81</f>
        <v>Suresh Kumar</v>
      </c>
      <c r="G84" s="14">
        <f>Attendance!G81</f>
        <v>1</v>
      </c>
      <c r="H84">
        <f>IF(OR(Attendance!C81="P",Attendance!C81="WFH"),1,0)</f>
        <v>1</v>
      </c>
      <c r="I84">
        <f>IF(Attendance!C81="A",1,0)</f>
        <v>0</v>
      </c>
      <c r="J84">
        <f>0</f>
        <v>0</v>
      </c>
      <c r="K84">
        <f>Attendance!F81</f>
        <v>0</v>
      </c>
      <c r="L84">
        <f>VLOOKUP(B84,Performance!$A:$L,12,FALSE)</f>
        <v>3</v>
      </c>
      <c r="M84" t="str">
        <f t="shared" si="3"/>
        <v>OK</v>
      </c>
      <c r="N84" t="str">
        <f t="shared" si="4"/>
        <v>OK</v>
      </c>
      <c r="O84" t="str">
        <f t="shared" si="5"/>
        <v>OK</v>
      </c>
    </row>
    <row r="85" spans="2:15" x14ac:dyDescent="0.3">
      <c r="B85" t="str">
        <f>Employees!A82</f>
        <v>EMP081</v>
      </c>
      <c r="C85" t="str">
        <f>Employees!B82</f>
        <v>Liam Rodriguez</v>
      </c>
      <c r="D85" t="str">
        <f>Employees!F82</f>
        <v>IT</v>
      </c>
      <c r="E85" t="str">
        <f>Employees!G82</f>
        <v>Software Engineer</v>
      </c>
      <c r="F85" t="str">
        <f>Employees!H82</f>
        <v>Manish Sharma</v>
      </c>
      <c r="G85" s="14">
        <f>Attendance!G82</f>
        <v>1</v>
      </c>
      <c r="H85">
        <f>IF(OR(Attendance!C82="P",Attendance!C82="WFH"),1,0)</f>
        <v>1</v>
      </c>
      <c r="I85">
        <f>IF(Attendance!C82="A",1,0)</f>
        <v>0</v>
      </c>
      <c r="J85">
        <f>0</f>
        <v>0</v>
      </c>
      <c r="K85">
        <f>Attendance!F82</f>
        <v>0</v>
      </c>
      <c r="L85">
        <f>VLOOKUP(B85,Performance!$A:$L,12,FALSE)</f>
        <v>4.24</v>
      </c>
      <c r="M85" t="str">
        <f t="shared" si="3"/>
        <v>OK</v>
      </c>
      <c r="N85" t="str">
        <f t="shared" si="4"/>
        <v>OK</v>
      </c>
      <c r="O85" t="str">
        <f t="shared" si="5"/>
        <v>OK</v>
      </c>
    </row>
    <row r="86" spans="2:15" x14ac:dyDescent="0.3">
      <c r="B86" t="str">
        <f>Employees!A83</f>
        <v>EMP082</v>
      </c>
      <c r="C86" t="str">
        <f>Employees!B83</f>
        <v>Emma Rodriguez</v>
      </c>
      <c r="D86" t="str">
        <f>Employees!F83</f>
        <v>HR</v>
      </c>
      <c r="E86" t="str">
        <f>Employees!G83</f>
        <v>HR Executive</v>
      </c>
      <c r="F86" t="str">
        <f>Employees!H83</f>
        <v>Anita Desai</v>
      </c>
      <c r="G86" s="14">
        <f>Attendance!G83</f>
        <v>1</v>
      </c>
      <c r="H86">
        <f>IF(OR(Attendance!C83="P",Attendance!C83="WFH"),1,0)</f>
        <v>1</v>
      </c>
      <c r="I86">
        <f>IF(Attendance!C83="A",1,0)</f>
        <v>0</v>
      </c>
      <c r="J86">
        <f>0</f>
        <v>0</v>
      </c>
      <c r="K86">
        <f>Attendance!F83</f>
        <v>0</v>
      </c>
      <c r="L86">
        <f>VLOOKUP(B86,Performance!$A:$L,12,FALSE)</f>
        <v>5</v>
      </c>
      <c r="M86" t="str">
        <f t="shared" si="3"/>
        <v>OK</v>
      </c>
      <c r="N86" t="str">
        <f t="shared" si="4"/>
        <v>OK</v>
      </c>
      <c r="O86" t="str">
        <f t="shared" si="5"/>
        <v>OK</v>
      </c>
    </row>
    <row r="87" spans="2:15" x14ac:dyDescent="0.3">
      <c r="B87" t="str">
        <f>Employees!A84</f>
        <v>EMP083</v>
      </c>
      <c r="C87" t="str">
        <f>Employees!B84</f>
        <v>Noah Rodriguez</v>
      </c>
      <c r="D87" t="str">
        <f>Employees!F84</f>
        <v>Finance</v>
      </c>
      <c r="E87" t="str">
        <f>Employees!G84</f>
        <v>Accountant</v>
      </c>
      <c r="F87" t="str">
        <f>Employees!H84</f>
        <v>Suresh Kumar</v>
      </c>
      <c r="G87" s="14">
        <f>Attendance!G84</f>
        <v>1</v>
      </c>
      <c r="H87">
        <f>IF(OR(Attendance!C84="P",Attendance!C84="WFH"),1,0)</f>
        <v>1</v>
      </c>
      <c r="I87">
        <f>IF(Attendance!C84="A",1,0)</f>
        <v>0</v>
      </c>
      <c r="J87">
        <f>0</f>
        <v>0</v>
      </c>
      <c r="K87">
        <f>Attendance!F84</f>
        <v>0</v>
      </c>
      <c r="L87">
        <f>VLOOKUP(B87,Performance!$A:$L,12,FALSE)</f>
        <v>2.34</v>
      </c>
      <c r="M87" t="str">
        <f t="shared" si="3"/>
        <v>OK</v>
      </c>
      <c r="N87" t="str">
        <f t="shared" si="4"/>
        <v>LOW</v>
      </c>
      <c r="O87" t="str">
        <f t="shared" si="5"/>
        <v>Performance Risk</v>
      </c>
    </row>
    <row r="88" spans="2:15" x14ac:dyDescent="0.3">
      <c r="B88" t="str">
        <f>Employees!A85</f>
        <v>EMP084</v>
      </c>
      <c r="C88" t="str">
        <f>Employees!B85</f>
        <v>Olivia Rodriguez</v>
      </c>
      <c r="D88" t="str">
        <f>Employees!F85</f>
        <v>Operations</v>
      </c>
      <c r="E88" t="str">
        <f>Employees!G85</f>
        <v>Operations Associate</v>
      </c>
      <c r="F88" t="str">
        <f>Employees!H85</f>
        <v>Meera Nair</v>
      </c>
      <c r="G88" s="14">
        <f>Attendance!G85</f>
        <v>1</v>
      </c>
      <c r="H88">
        <f>IF(OR(Attendance!C85="P",Attendance!C85="WFH"),1,0)</f>
        <v>1</v>
      </c>
      <c r="I88">
        <f>IF(Attendance!C85="A",1,0)</f>
        <v>0</v>
      </c>
      <c r="J88">
        <f>0</f>
        <v>0</v>
      </c>
      <c r="K88">
        <f>Attendance!F85</f>
        <v>0</v>
      </c>
      <c r="L88">
        <f>VLOOKUP(B88,Performance!$A:$L,12,FALSE)</f>
        <v>4</v>
      </c>
      <c r="M88" t="str">
        <f t="shared" si="3"/>
        <v>OK</v>
      </c>
      <c r="N88" t="str">
        <f t="shared" si="4"/>
        <v>OK</v>
      </c>
      <c r="O88" t="str">
        <f t="shared" si="5"/>
        <v>OK</v>
      </c>
    </row>
    <row r="89" spans="2:15" x14ac:dyDescent="0.3">
      <c r="B89" t="str">
        <f>Employees!A86</f>
        <v>EMP085</v>
      </c>
      <c r="C89" t="str">
        <f>Employees!B86</f>
        <v>Oliver Rodriguez</v>
      </c>
      <c r="D89" t="str">
        <f>Employees!F86</f>
        <v>IT</v>
      </c>
      <c r="E89" t="str">
        <f>Employees!G86</f>
        <v>Team Lead</v>
      </c>
      <c r="F89" t="str">
        <f>Employees!H86</f>
        <v>Manish Sharma</v>
      </c>
      <c r="G89" s="14">
        <f>Attendance!G86</f>
        <v>1</v>
      </c>
      <c r="H89">
        <f>IF(OR(Attendance!C86="P",Attendance!C86="WFH"),1,0)</f>
        <v>1</v>
      </c>
      <c r="I89">
        <f>IF(Attendance!C86="A",1,0)</f>
        <v>0</v>
      </c>
      <c r="J89">
        <f>0</f>
        <v>0</v>
      </c>
      <c r="K89">
        <f>Attendance!F86</f>
        <v>0</v>
      </c>
      <c r="L89">
        <f>VLOOKUP(B89,Performance!$A:$L,12,FALSE)</f>
        <v>4.66</v>
      </c>
      <c r="M89" t="str">
        <f t="shared" si="3"/>
        <v>OK</v>
      </c>
      <c r="N89" t="str">
        <f t="shared" si="4"/>
        <v>OK</v>
      </c>
      <c r="O89" t="str">
        <f t="shared" si="5"/>
        <v>OK</v>
      </c>
    </row>
    <row r="90" spans="2:15" x14ac:dyDescent="0.3">
      <c r="B90" t="str">
        <f>Employees!A87</f>
        <v>EMP086</v>
      </c>
      <c r="C90" t="str">
        <f>Employees!B87</f>
        <v>Ava Rodriguez</v>
      </c>
      <c r="D90" t="str">
        <f>Employees!F87</f>
        <v>HR</v>
      </c>
      <c r="E90" t="str">
        <f>Employees!G87</f>
        <v>HR Manager</v>
      </c>
      <c r="F90" t="str">
        <f>Employees!H87</f>
        <v>Anita Desai</v>
      </c>
      <c r="G90" s="14">
        <f>Attendance!G87</f>
        <v>1</v>
      </c>
      <c r="H90">
        <f>IF(OR(Attendance!C87="P",Attendance!C87="WFH"),1,0)</f>
        <v>1</v>
      </c>
      <c r="I90">
        <f>IF(Attendance!C87="A",1,0)</f>
        <v>0</v>
      </c>
      <c r="J90">
        <f>0</f>
        <v>0</v>
      </c>
      <c r="K90">
        <f>Attendance!F87</f>
        <v>0</v>
      </c>
      <c r="L90">
        <f>VLOOKUP(B90,Performance!$A:$L,12,FALSE)</f>
        <v>3.22</v>
      </c>
      <c r="M90" t="str">
        <f t="shared" si="3"/>
        <v>OK</v>
      </c>
      <c r="N90" t="str">
        <f t="shared" si="4"/>
        <v>OK</v>
      </c>
      <c r="O90" t="str">
        <f t="shared" si="5"/>
        <v>OK</v>
      </c>
    </row>
    <row r="91" spans="2:15" x14ac:dyDescent="0.3">
      <c r="B91" t="str">
        <f>Employees!A88</f>
        <v>EMP087</v>
      </c>
      <c r="C91" t="str">
        <f>Employees!B88</f>
        <v>Elijah Rodriguez</v>
      </c>
      <c r="D91" t="str">
        <f>Employees!F88</f>
        <v>Finance</v>
      </c>
      <c r="E91" t="str">
        <f>Employees!G88</f>
        <v>Financial Analyst</v>
      </c>
      <c r="F91" t="str">
        <f>Employees!H88</f>
        <v>Suresh Kumar</v>
      </c>
      <c r="G91" s="14">
        <f>Attendance!G88</f>
        <v>1</v>
      </c>
      <c r="H91">
        <f>IF(OR(Attendance!C88="P",Attendance!C88="WFH"),1,0)</f>
        <v>1</v>
      </c>
      <c r="I91">
        <f>IF(Attendance!C88="A",1,0)</f>
        <v>0</v>
      </c>
      <c r="J91">
        <f>0</f>
        <v>0</v>
      </c>
      <c r="K91">
        <f>Attendance!F88</f>
        <v>0</v>
      </c>
      <c r="L91">
        <f>VLOOKUP(B91,Performance!$A:$L,12,FALSE)</f>
        <v>4</v>
      </c>
      <c r="M91" t="str">
        <f t="shared" si="3"/>
        <v>OK</v>
      </c>
      <c r="N91" t="str">
        <f t="shared" si="4"/>
        <v>OK</v>
      </c>
      <c r="O91" t="str">
        <f t="shared" si="5"/>
        <v>OK</v>
      </c>
    </row>
    <row r="92" spans="2:15" x14ac:dyDescent="0.3">
      <c r="B92" t="str">
        <f>Employees!A89</f>
        <v>EMP088</v>
      </c>
      <c r="C92" t="str">
        <f>Employees!B89</f>
        <v>Sophia Rodriguez</v>
      </c>
      <c r="D92" t="str">
        <f>Employees!F89</f>
        <v>Operations</v>
      </c>
      <c r="E92" t="str">
        <f>Employees!G89</f>
        <v>Operations Manager</v>
      </c>
      <c r="F92" t="str">
        <f>Employees!H89</f>
        <v>Meera Nair</v>
      </c>
      <c r="G92" s="14">
        <f>Attendance!G89</f>
        <v>1</v>
      </c>
      <c r="H92">
        <f>IF(OR(Attendance!C89="P",Attendance!C89="WFH"),1,0)</f>
        <v>1</v>
      </c>
      <c r="I92">
        <f>IF(Attendance!C89="A",1,0)</f>
        <v>0</v>
      </c>
      <c r="J92">
        <f>0</f>
        <v>0</v>
      </c>
      <c r="K92">
        <f>Attendance!F89</f>
        <v>0</v>
      </c>
      <c r="L92">
        <f>VLOOKUP(B92,Performance!$A:$L,12,FALSE)</f>
        <v>5</v>
      </c>
      <c r="M92" t="str">
        <f t="shared" si="3"/>
        <v>OK</v>
      </c>
      <c r="N92" t="str">
        <f t="shared" si="4"/>
        <v>OK</v>
      </c>
      <c r="O92" t="str">
        <f t="shared" si="5"/>
        <v>OK</v>
      </c>
    </row>
    <row r="93" spans="2:15" x14ac:dyDescent="0.3">
      <c r="B93" t="str">
        <f>Employees!A90</f>
        <v>EMP089</v>
      </c>
      <c r="C93" t="str">
        <f>Employees!B90</f>
        <v>William Rodriguez</v>
      </c>
      <c r="D93" t="str">
        <f>Employees!F90</f>
        <v>IT</v>
      </c>
      <c r="E93" t="str">
        <f>Employees!G90</f>
        <v>Software Engineer</v>
      </c>
      <c r="F93" t="str">
        <f>Employees!H90</f>
        <v>Manish Sharma</v>
      </c>
      <c r="G93" s="14">
        <f>Attendance!G90</f>
        <v>1</v>
      </c>
      <c r="H93">
        <f>IF(OR(Attendance!C90="P",Attendance!C90="WFH"),1,0)</f>
        <v>1</v>
      </c>
      <c r="I93">
        <f>IF(Attendance!C90="A",1,0)</f>
        <v>0</v>
      </c>
      <c r="J93">
        <f>0</f>
        <v>0</v>
      </c>
      <c r="K93">
        <f>Attendance!F90</f>
        <v>0</v>
      </c>
      <c r="L93">
        <f>VLOOKUP(B93,Performance!$A:$L,12,FALSE)</f>
        <v>2</v>
      </c>
      <c r="M93" t="str">
        <f t="shared" si="3"/>
        <v>OK</v>
      </c>
      <c r="N93" t="str">
        <f t="shared" si="4"/>
        <v>LOW</v>
      </c>
      <c r="O93" t="str">
        <f t="shared" si="5"/>
        <v>Performance Risk</v>
      </c>
    </row>
    <row r="94" spans="2:15" x14ac:dyDescent="0.3">
      <c r="B94" t="str">
        <f>Employees!A91</f>
        <v>EMP090</v>
      </c>
      <c r="C94" t="str">
        <f>Employees!B91</f>
        <v>Isabella Rodriguez</v>
      </c>
      <c r="D94" t="str">
        <f>Employees!F91</f>
        <v>Finance</v>
      </c>
      <c r="E94" t="str">
        <f>Employees!G91</f>
        <v>Accountant</v>
      </c>
      <c r="F94" t="str">
        <f>Employees!H91</f>
        <v>Suresh Kumar</v>
      </c>
      <c r="G94" s="14">
        <f>Attendance!G91</f>
        <v>1</v>
      </c>
      <c r="H94">
        <f>IF(OR(Attendance!C91="P",Attendance!C91="WFH"),1,0)</f>
        <v>1</v>
      </c>
      <c r="I94">
        <f>IF(Attendance!C91="A",1,0)</f>
        <v>0</v>
      </c>
      <c r="J94">
        <f>0</f>
        <v>0</v>
      </c>
      <c r="K94">
        <f>Attendance!F91</f>
        <v>0</v>
      </c>
      <c r="L94">
        <f>VLOOKUP(B94,Performance!$A:$L,12,FALSE)</f>
        <v>3.66</v>
      </c>
      <c r="M94" t="str">
        <f t="shared" si="3"/>
        <v>OK</v>
      </c>
      <c r="N94" t="str">
        <f t="shared" si="4"/>
        <v>OK</v>
      </c>
      <c r="O94" t="str">
        <f t="shared" si="5"/>
        <v>OK</v>
      </c>
    </row>
    <row r="95" spans="2:15" x14ac:dyDescent="0.3">
      <c r="B95" t="str">
        <f>Employees!A92</f>
        <v>EMP091</v>
      </c>
      <c r="C95" t="str">
        <f>Employees!B92</f>
        <v>Liam Martinez</v>
      </c>
      <c r="D95" t="str">
        <f>Employees!F92</f>
        <v>IT</v>
      </c>
      <c r="E95" t="str">
        <f>Employees!G92</f>
        <v>Software Engineer</v>
      </c>
      <c r="F95" t="str">
        <f>Employees!H92</f>
        <v>Manish Sharma</v>
      </c>
      <c r="G95" s="14">
        <f>Attendance!G92</f>
        <v>1</v>
      </c>
      <c r="H95">
        <f>IF(OR(Attendance!C92="P",Attendance!C92="WFH"),1,0)</f>
        <v>1</v>
      </c>
      <c r="I95">
        <f>IF(Attendance!C92="A",1,0)</f>
        <v>0</v>
      </c>
      <c r="J95">
        <f>0</f>
        <v>0</v>
      </c>
      <c r="K95">
        <f>Attendance!F92</f>
        <v>0</v>
      </c>
      <c r="L95">
        <f>VLOOKUP(B95,Performance!$A:$L,12,FALSE)</f>
        <v>3.34</v>
      </c>
      <c r="M95" t="str">
        <f t="shared" si="3"/>
        <v>OK</v>
      </c>
      <c r="N95" t="str">
        <f t="shared" si="4"/>
        <v>OK</v>
      </c>
      <c r="O95" t="str">
        <f t="shared" si="5"/>
        <v>OK</v>
      </c>
    </row>
    <row r="96" spans="2:15" x14ac:dyDescent="0.3">
      <c r="B96" t="str">
        <f>Employees!A93</f>
        <v>EMP092</v>
      </c>
      <c r="C96" t="str">
        <f>Employees!B93</f>
        <v>Emma Martinez</v>
      </c>
      <c r="D96" t="str">
        <f>Employees!F93</f>
        <v>HR</v>
      </c>
      <c r="E96" t="str">
        <f>Employees!G93</f>
        <v>HR Executive</v>
      </c>
      <c r="F96" t="str">
        <f>Employees!H93</f>
        <v>Anita Desai</v>
      </c>
      <c r="G96" s="14">
        <f>Attendance!G93</f>
        <v>1</v>
      </c>
      <c r="H96">
        <f>IF(OR(Attendance!C93="P",Attendance!C93="WFH"),1,0)</f>
        <v>1</v>
      </c>
      <c r="I96">
        <f>IF(Attendance!C93="A",1,0)</f>
        <v>0</v>
      </c>
      <c r="J96">
        <f>0</f>
        <v>0</v>
      </c>
      <c r="K96">
        <f>Attendance!F93</f>
        <v>0</v>
      </c>
      <c r="L96">
        <f>VLOOKUP(B96,Performance!$A:$L,12,FALSE)</f>
        <v>4</v>
      </c>
      <c r="M96" t="str">
        <f t="shared" si="3"/>
        <v>OK</v>
      </c>
      <c r="N96" t="str">
        <f t="shared" si="4"/>
        <v>OK</v>
      </c>
      <c r="O96" t="str">
        <f t="shared" si="5"/>
        <v>OK</v>
      </c>
    </row>
    <row r="97" spans="2:15" x14ac:dyDescent="0.3">
      <c r="B97" t="str">
        <f>Employees!A94</f>
        <v>EMP093</v>
      </c>
      <c r="C97" t="str">
        <f>Employees!B94</f>
        <v>Noah Martinez</v>
      </c>
      <c r="D97" t="str">
        <f>Employees!F94</f>
        <v>Finance</v>
      </c>
      <c r="E97" t="str">
        <f>Employees!G94</f>
        <v>Accountant</v>
      </c>
      <c r="F97" t="str">
        <f>Employees!H94</f>
        <v>Suresh Kumar</v>
      </c>
      <c r="G97" s="14">
        <f>Attendance!G94</f>
        <v>1</v>
      </c>
      <c r="H97">
        <f>IF(OR(Attendance!C94="P",Attendance!C94="WFH"),1,0)</f>
        <v>1</v>
      </c>
      <c r="I97">
        <f>IF(Attendance!C94="A",1,0)</f>
        <v>0</v>
      </c>
      <c r="J97">
        <f>0</f>
        <v>0</v>
      </c>
      <c r="K97">
        <f>Attendance!F94</f>
        <v>0</v>
      </c>
      <c r="L97">
        <f>VLOOKUP(B97,Performance!$A:$L,12,FALSE)</f>
        <v>4.66</v>
      </c>
      <c r="M97" t="str">
        <f t="shared" si="3"/>
        <v>OK</v>
      </c>
      <c r="N97" t="str">
        <f t="shared" si="4"/>
        <v>OK</v>
      </c>
      <c r="O97" t="str">
        <f t="shared" si="5"/>
        <v>OK</v>
      </c>
    </row>
    <row r="98" spans="2:15" x14ac:dyDescent="0.3">
      <c r="B98" t="str">
        <f>Employees!A95</f>
        <v>EMP094</v>
      </c>
      <c r="C98" t="str">
        <f>Employees!B95</f>
        <v>Olivia Martinez</v>
      </c>
      <c r="D98" t="str">
        <f>Employees!F95</f>
        <v>Operations</v>
      </c>
      <c r="E98" t="str">
        <f>Employees!G95</f>
        <v>Operations Associate</v>
      </c>
      <c r="F98" t="str">
        <f>Employees!H95</f>
        <v>Meera Nair</v>
      </c>
      <c r="G98" s="14">
        <f>Attendance!G95</f>
        <v>1</v>
      </c>
      <c r="H98">
        <f>IF(OR(Attendance!C95="P",Attendance!C95="WFH"),1,0)</f>
        <v>1</v>
      </c>
      <c r="I98">
        <f>IF(Attendance!C95="A",1,0)</f>
        <v>0</v>
      </c>
      <c r="J98">
        <f>0</f>
        <v>0</v>
      </c>
      <c r="K98">
        <f>Attendance!F95</f>
        <v>0</v>
      </c>
      <c r="L98">
        <f>VLOOKUP(B98,Performance!$A:$L,12,FALSE)</f>
        <v>3</v>
      </c>
      <c r="M98" t="str">
        <f t="shared" si="3"/>
        <v>OK</v>
      </c>
      <c r="N98" t="str">
        <f t="shared" si="4"/>
        <v>OK</v>
      </c>
      <c r="O98" t="str">
        <f t="shared" si="5"/>
        <v>OK</v>
      </c>
    </row>
    <row r="99" spans="2:15" x14ac:dyDescent="0.3">
      <c r="B99" t="str">
        <f>Employees!A96</f>
        <v>EMP095</v>
      </c>
      <c r="C99" t="str">
        <f>Employees!B96</f>
        <v>Oliver Martinez</v>
      </c>
      <c r="D99" t="str">
        <f>Employees!F96</f>
        <v>IT</v>
      </c>
      <c r="E99" t="str">
        <f>Employees!G96</f>
        <v>Team Lead</v>
      </c>
      <c r="F99" t="str">
        <f>Employees!H96</f>
        <v>Manish Sharma</v>
      </c>
      <c r="G99" s="14">
        <f>Attendance!G96</f>
        <v>1</v>
      </c>
      <c r="H99">
        <f>IF(OR(Attendance!C96="P",Attendance!C96="WFH"),1,0)</f>
        <v>1</v>
      </c>
      <c r="I99">
        <f>IF(Attendance!C96="A",1,0)</f>
        <v>0</v>
      </c>
      <c r="J99">
        <f>0</f>
        <v>0</v>
      </c>
      <c r="K99">
        <f>Attendance!F96</f>
        <v>0</v>
      </c>
      <c r="L99">
        <f>VLOOKUP(B99,Performance!$A:$L,12,FALSE)</f>
        <v>4.24</v>
      </c>
      <c r="M99" t="str">
        <f t="shared" si="3"/>
        <v>OK</v>
      </c>
      <c r="N99" t="str">
        <f t="shared" si="4"/>
        <v>OK</v>
      </c>
      <c r="O99" t="str">
        <f t="shared" si="5"/>
        <v>OK</v>
      </c>
    </row>
    <row r="100" spans="2:15" x14ac:dyDescent="0.3">
      <c r="B100" t="str">
        <f>Employees!A97</f>
        <v>EMP096</v>
      </c>
      <c r="C100" t="str">
        <f>Employees!B97</f>
        <v>Ava Martinez</v>
      </c>
      <c r="D100" t="str">
        <f>Employees!F97</f>
        <v>HR</v>
      </c>
      <c r="E100" t="str">
        <f>Employees!G97</f>
        <v>HR Manager</v>
      </c>
      <c r="F100" t="str">
        <f>Employees!H97</f>
        <v>Anita Desai</v>
      </c>
      <c r="G100" s="14">
        <f>Attendance!G97</f>
        <v>1</v>
      </c>
      <c r="H100">
        <f>IF(OR(Attendance!C97="P",Attendance!C97="WFH"),1,0)</f>
        <v>1</v>
      </c>
      <c r="I100">
        <f>IF(Attendance!C97="A",1,0)</f>
        <v>0</v>
      </c>
      <c r="J100">
        <f>0</f>
        <v>0</v>
      </c>
      <c r="K100">
        <f>Attendance!F97</f>
        <v>0</v>
      </c>
      <c r="L100">
        <f>VLOOKUP(B100,Performance!$A:$L,12,FALSE)</f>
        <v>5</v>
      </c>
      <c r="M100" t="str">
        <f t="shared" si="3"/>
        <v>OK</v>
      </c>
      <c r="N100" t="str">
        <f t="shared" si="4"/>
        <v>OK</v>
      </c>
      <c r="O100" t="str">
        <f t="shared" si="5"/>
        <v>OK</v>
      </c>
    </row>
    <row r="101" spans="2:15" x14ac:dyDescent="0.3">
      <c r="B101" t="str">
        <f>Employees!A98</f>
        <v>EMP097</v>
      </c>
      <c r="C101" t="str">
        <f>Employees!B98</f>
        <v>Elijah Martinez</v>
      </c>
      <c r="D101" t="str">
        <f>Employees!F98</f>
        <v>Finance</v>
      </c>
      <c r="E101" t="str">
        <f>Employees!G98</f>
        <v>Financial Analyst</v>
      </c>
      <c r="F101" t="str">
        <f>Employees!H98</f>
        <v>Suresh Kumar</v>
      </c>
      <c r="G101" s="14">
        <f>Attendance!G98</f>
        <v>1</v>
      </c>
      <c r="H101">
        <f>IF(OR(Attendance!C98="P",Attendance!C98="WFH"),1,0)</f>
        <v>1</v>
      </c>
      <c r="I101">
        <f>IF(Attendance!C98="A",1,0)</f>
        <v>0</v>
      </c>
      <c r="J101">
        <f>0</f>
        <v>0</v>
      </c>
      <c r="K101">
        <f>Attendance!F98</f>
        <v>0</v>
      </c>
      <c r="L101">
        <f>VLOOKUP(B101,Performance!$A:$L,12,FALSE)</f>
        <v>2.34</v>
      </c>
      <c r="M101" t="str">
        <f t="shared" si="3"/>
        <v>OK</v>
      </c>
      <c r="N101" t="str">
        <f t="shared" si="4"/>
        <v>LOW</v>
      </c>
      <c r="O101" t="str">
        <f t="shared" si="5"/>
        <v>Performance Risk</v>
      </c>
    </row>
    <row r="102" spans="2:15" x14ac:dyDescent="0.3">
      <c r="B102" t="str">
        <f>Employees!A99</f>
        <v>EMP098</v>
      </c>
      <c r="C102" t="str">
        <f>Employees!B99</f>
        <v>Sophia Martinez</v>
      </c>
      <c r="D102" t="str">
        <f>Employees!F99</f>
        <v>Operations</v>
      </c>
      <c r="E102" t="str">
        <f>Employees!G99</f>
        <v>Operations Manager</v>
      </c>
      <c r="F102" t="str">
        <f>Employees!H99</f>
        <v>Meera Nair</v>
      </c>
      <c r="G102" s="14">
        <f>Attendance!G99</f>
        <v>1</v>
      </c>
      <c r="H102">
        <f>IF(OR(Attendance!C99="P",Attendance!C99="WFH"),1,0)</f>
        <v>1</v>
      </c>
      <c r="I102">
        <f>IF(Attendance!C99="A",1,0)</f>
        <v>0</v>
      </c>
      <c r="J102">
        <f>0</f>
        <v>0</v>
      </c>
      <c r="K102">
        <f>Attendance!F99</f>
        <v>0</v>
      </c>
      <c r="L102">
        <f>VLOOKUP(B102,Performance!$A:$L,12,FALSE)</f>
        <v>4</v>
      </c>
      <c r="M102" t="str">
        <f t="shared" si="3"/>
        <v>OK</v>
      </c>
      <c r="N102" t="str">
        <f t="shared" si="4"/>
        <v>OK</v>
      </c>
      <c r="O102" t="str">
        <f t="shared" si="5"/>
        <v>OK</v>
      </c>
    </row>
    <row r="103" spans="2:15" x14ac:dyDescent="0.3">
      <c r="B103" t="str">
        <f>Employees!A100</f>
        <v>EMP099</v>
      </c>
      <c r="C103" t="str">
        <f>Employees!B100</f>
        <v>William Martinez</v>
      </c>
      <c r="D103" t="str">
        <f>Employees!F100</f>
        <v>IT</v>
      </c>
      <c r="E103" t="str">
        <f>Employees!G100</f>
        <v>Software Engineer</v>
      </c>
      <c r="F103" t="str">
        <f>Employees!H100</f>
        <v>Manish Sharma</v>
      </c>
      <c r="G103" s="14">
        <f>Attendance!G100</f>
        <v>1</v>
      </c>
      <c r="H103">
        <f>IF(OR(Attendance!C100="P",Attendance!C100="WFH"),1,0)</f>
        <v>1</v>
      </c>
      <c r="I103">
        <f>IF(Attendance!C100="A",1,0)</f>
        <v>0</v>
      </c>
      <c r="J103">
        <f>0</f>
        <v>0</v>
      </c>
      <c r="K103">
        <f>Attendance!F100</f>
        <v>0</v>
      </c>
      <c r="L103">
        <f>VLOOKUP(B103,Performance!$A:$L,12,FALSE)</f>
        <v>4.66</v>
      </c>
      <c r="M103" t="str">
        <f t="shared" si="3"/>
        <v>OK</v>
      </c>
      <c r="N103" t="str">
        <f t="shared" si="4"/>
        <v>OK</v>
      </c>
      <c r="O103" t="str">
        <f t="shared" si="5"/>
        <v>OK</v>
      </c>
    </row>
    <row r="104" spans="2:15" x14ac:dyDescent="0.3">
      <c r="B104" t="str">
        <f>Employees!A101</f>
        <v>EMP100</v>
      </c>
      <c r="C104" t="str">
        <f>Employees!B101</f>
        <v>Isabella Martinez</v>
      </c>
      <c r="D104" t="str">
        <f>Employees!F101</f>
        <v>Finance</v>
      </c>
      <c r="E104" t="str">
        <f>Employees!G101</f>
        <v>Accountant</v>
      </c>
      <c r="F104" t="str">
        <f>Employees!H101</f>
        <v>Suresh Kumar</v>
      </c>
      <c r="G104" s="14">
        <f>Attendance!G101</f>
        <v>1</v>
      </c>
      <c r="H104">
        <f>IF(OR(Attendance!C101="P",Attendance!C101="WFH"),1,0)</f>
        <v>1</v>
      </c>
      <c r="I104">
        <f>IF(Attendance!C101="A",1,0)</f>
        <v>0</v>
      </c>
      <c r="J104">
        <f>0</f>
        <v>0</v>
      </c>
      <c r="K104">
        <f>Attendance!F101</f>
        <v>0</v>
      </c>
      <c r="L104">
        <f>VLOOKUP(B104,Performance!$A:$L,12,FALSE)</f>
        <v>3.22</v>
      </c>
      <c r="M104" t="str">
        <f t="shared" si="3"/>
        <v>OK</v>
      </c>
      <c r="N104" t="str">
        <f t="shared" si="4"/>
        <v>OK</v>
      </c>
      <c r="O104" t="str">
        <f t="shared" si="5"/>
        <v>OK</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B8C35-DDD9-4983-88EC-0CA80C98567E}">
  <sheetPr codeName="Sheet10"/>
  <dimension ref="A1:C117"/>
  <sheetViews>
    <sheetView zoomScaleNormal="100" workbookViewId="0">
      <selection activeCell="S13" sqref="S13"/>
    </sheetView>
  </sheetViews>
  <sheetFormatPr defaultRowHeight="14.4" x14ac:dyDescent="0.3"/>
  <cols>
    <col min="1" max="1" width="16" bestFit="1" customWidth="1"/>
    <col min="2" max="2" width="27" bestFit="1" customWidth="1"/>
    <col min="3" max="3" width="18" bestFit="1" customWidth="1"/>
    <col min="8" max="8" width="9.6640625" customWidth="1"/>
  </cols>
  <sheetData>
    <row r="1" spans="1:2" x14ac:dyDescent="0.3">
      <c r="A1" s="15" t="s">
        <v>352</v>
      </c>
      <c r="B1" t="s">
        <v>354</v>
      </c>
    </row>
    <row r="2" spans="1:2" x14ac:dyDescent="0.3">
      <c r="A2" s="16" t="s">
        <v>17</v>
      </c>
      <c r="B2">
        <v>20</v>
      </c>
    </row>
    <row r="3" spans="1:2" x14ac:dyDescent="0.3">
      <c r="A3" s="16" t="s">
        <v>16</v>
      </c>
      <c r="B3">
        <v>20</v>
      </c>
    </row>
    <row r="4" spans="1:2" x14ac:dyDescent="0.3">
      <c r="A4" s="16" t="s">
        <v>18</v>
      </c>
      <c r="B4">
        <v>20</v>
      </c>
    </row>
    <row r="5" spans="1:2" x14ac:dyDescent="0.3">
      <c r="A5" s="16" t="s">
        <v>19</v>
      </c>
      <c r="B5">
        <v>20</v>
      </c>
    </row>
    <row r="6" spans="1:2" x14ac:dyDescent="0.3">
      <c r="A6" s="16" t="s">
        <v>299</v>
      </c>
      <c r="B6">
        <v>20</v>
      </c>
    </row>
    <row r="7" spans="1:2" x14ac:dyDescent="0.3">
      <c r="A7" s="16" t="s">
        <v>353</v>
      </c>
      <c r="B7">
        <v>100</v>
      </c>
    </row>
    <row r="12" spans="1:2" x14ac:dyDescent="0.3">
      <c r="A12" s="15" t="s">
        <v>352</v>
      </c>
      <c r="B12" t="s">
        <v>358</v>
      </c>
    </row>
    <row r="13" spans="1:2" x14ac:dyDescent="0.3">
      <c r="A13" s="16" t="s">
        <v>17</v>
      </c>
      <c r="B13">
        <v>7.9</v>
      </c>
    </row>
    <row r="14" spans="1:2" x14ac:dyDescent="0.3">
      <c r="A14" s="16" t="s">
        <v>16</v>
      </c>
      <c r="B14">
        <v>6.9</v>
      </c>
    </row>
    <row r="15" spans="1:2" x14ac:dyDescent="0.3">
      <c r="A15" s="16" t="s">
        <v>18</v>
      </c>
      <c r="B15">
        <v>6.8</v>
      </c>
    </row>
    <row r="16" spans="1:2" x14ac:dyDescent="0.3">
      <c r="A16" s="16" t="s">
        <v>19</v>
      </c>
      <c r="B16">
        <v>5.85</v>
      </c>
    </row>
    <row r="17" spans="1:2" x14ac:dyDescent="0.3">
      <c r="A17" s="16" t="s">
        <v>299</v>
      </c>
      <c r="B17">
        <v>6.45</v>
      </c>
    </row>
    <row r="18" spans="1:2" x14ac:dyDescent="0.3">
      <c r="A18" s="16" t="s">
        <v>353</v>
      </c>
      <c r="B18">
        <v>6.78</v>
      </c>
    </row>
    <row r="23" spans="1:2" x14ac:dyDescent="0.3">
      <c r="A23" s="15" t="s">
        <v>352</v>
      </c>
      <c r="B23" t="s">
        <v>355</v>
      </c>
    </row>
    <row r="24" spans="1:2" x14ac:dyDescent="0.3">
      <c r="A24" s="16" t="s">
        <v>310</v>
      </c>
      <c r="B24">
        <v>8</v>
      </c>
    </row>
    <row r="25" spans="1:2" x14ac:dyDescent="0.3">
      <c r="A25" s="16" t="s">
        <v>317</v>
      </c>
      <c r="B25">
        <v>10</v>
      </c>
    </row>
    <row r="26" spans="1:2" x14ac:dyDescent="0.3">
      <c r="A26" s="16" t="s">
        <v>302</v>
      </c>
      <c r="B26">
        <v>72</v>
      </c>
    </row>
    <row r="27" spans="1:2" x14ac:dyDescent="0.3">
      <c r="A27" s="16" t="s">
        <v>305</v>
      </c>
      <c r="B27">
        <v>10</v>
      </c>
    </row>
    <row r="28" spans="1:2" x14ac:dyDescent="0.3">
      <c r="A28" s="16" t="s">
        <v>353</v>
      </c>
      <c r="B28">
        <v>100</v>
      </c>
    </row>
    <row r="32" spans="1:2" x14ac:dyDescent="0.3">
      <c r="A32" s="15" t="s">
        <v>352</v>
      </c>
      <c r="B32" t="s">
        <v>358</v>
      </c>
    </row>
    <row r="33" spans="1:3" x14ac:dyDescent="0.3">
      <c r="A33" s="25">
        <v>45992</v>
      </c>
      <c r="B33">
        <v>7.08</v>
      </c>
    </row>
    <row r="34" spans="1:3" x14ac:dyDescent="0.3">
      <c r="A34" s="25">
        <v>46023</v>
      </c>
      <c r="B34">
        <v>6.8</v>
      </c>
    </row>
    <row r="35" spans="1:3" x14ac:dyDescent="0.3">
      <c r="A35" s="25">
        <v>46054</v>
      </c>
      <c r="B35">
        <v>6.64</v>
      </c>
    </row>
    <row r="36" spans="1:3" x14ac:dyDescent="0.3">
      <c r="A36" s="25">
        <v>46082</v>
      </c>
      <c r="B36">
        <v>6.6</v>
      </c>
    </row>
    <row r="37" spans="1:3" x14ac:dyDescent="0.3">
      <c r="A37" s="17" t="s">
        <v>353</v>
      </c>
      <c r="B37">
        <v>6.78</v>
      </c>
    </row>
    <row r="40" spans="1:3" x14ac:dyDescent="0.3">
      <c r="A40" s="15" t="s">
        <v>352</v>
      </c>
      <c r="B40" t="s">
        <v>356</v>
      </c>
      <c r="C40" t="s">
        <v>357</v>
      </c>
    </row>
    <row r="41" spans="1:3" x14ac:dyDescent="0.3">
      <c r="A41" s="16" t="s">
        <v>17</v>
      </c>
      <c r="B41">
        <v>344</v>
      </c>
      <c r="C41">
        <v>404</v>
      </c>
    </row>
    <row r="42" spans="1:3" x14ac:dyDescent="0.3">
      <c r="A42" s="16" t="s">
        <v>16</v>
      </c>
      <c r="B42">
        <v>248</v>
      </c>
      <c r="C42">
        <v>372</v>
      </c>
    </row>
    <row r="43" spans="1:3" x14ac:dyDescent="0.3">
      <c r="A43" s="16" t="s">
        <v>18</v>
      </c>
      <c r="B43">
        <v>324</v>
      </c>
      <c r="C43">
        <v>448</v>
      </c>
    </row>
    <row r="44" spans="1:3" x14ac:dyDescent="0.3">
      <c r="A44" s="16" t="s">
        <v>19</v>
      </c>
      <c r="B44">
        <v>231</v>
      </c>
      <c r="C44">
        <v>388</v>
      </c>
    </row>
    <row r="45" spans="1:3" x14ac:dyDescent="0.3">
      <c r="A45" s="16" t="s">
        <v>299</v>
      </c>
      <c r="B45">
        <v>248</v>
      </c>
      <c r="C45">
        <v>380</v>
      </c>
    </row>
    <row r="46" spans="1:3" x14ac:dyDescent="0.3">
      <c r="A46" s="16" t="s">
        <v>353</v>
      </c>
      <c r="B46">
        <v>1395</v>
      </c>
      <c r="C46">
        <v>1992</v>
      </c>
    </row>
    <row r="51" spans="1:2" x14ac:dyDescent="0.3">
      <c r="A51" s="15" t="s">
        <v>352</v>
      </c>
      <c r="B51" t="s">
        <v>384</v>
      </c>
    </row>
    <row r="52" spans="1:2" x14ac:dyDescent="0.3">
      <c r="A52" s="16" t="s">
        <v>17</v>
      </c>
      <c r="B52">
        <v>0.54500000000000004</v>
      </c>
    </row>
    <row r="53" spans="1:2" x14ac:dyDescent="0.3">
      <c r="A53" s="16" t="s">
        <v>16</v>
      </c>
      <c r="B53">
        <v>0.92000000000000015</v>
      </c>
    </row>
    <row r="54" spans="1:2" x14ac:dyDescent="0.3">
      <c r="A54" s="16" t="s">
        <v>18</v>
      </c>
      <c r="B54">
        <v>0.98999999999999988</v>
      </c>
    </row>
    <row r="55" spans="1:2" x14ac:dyDescent="0.3">
      <c r="A55" s="16" t="s">
        <v>19</v>
      </c>
      <c r="B55">
        <v>0.71</v>
      </c>
    </row>
    <row r="56" spans="1:2" x14ac:dyDescent="0.3">
      <c r="A56" s="16" t="s">
        <v>299</v>
      </c>
      <c r="B56">
        <v>0.60499999999999998</v>
      </c>
    </row>
    <row r="57" spans="1:2" x14ac:dyDescent="0.3">
      <c r="A57" s="16" t="s">
        <v>353</v>
      </c>
      <c r="B57">
        <v>0.75400000000000023</v>
      </c>
    </row>
    <row r="61" spans="1:2" x14ac:dyDescent="0.3">
      <c r="A61" s="15" t="s">
        <v>352</v>
      </c>
      <c r="B61" t="s">
        <v>358</v>
      </c>
    </row>
    <row r="62" spans="1:2" x14ac:dyDescent="0.3">
      <c r="A62" s="16" t="s">
        <v>319</v>
      </c>
      <c r="B62">
        <v>9</v>
      </c>
    </row>
    <row r="63" spans="1:2" x14ac:dyDescent="0.3">
      <c r="A63" s="16" t="s">
        <v>341</v>
      </c>
      <c r="B63">
        <v>8.75</v>
      </c>
    </row>
    <row r="64" spans="1:2" x14ac:dyDescent="0.3">
      <c r="A64" s="16" t="s">
        <v>333</v>
      </c>
      <c r="B64">
        <v>8.5</v>
      </c>
    </row>
    <row r="65" spans="1:2" x14ac:dyDescent="0.3">
      <c r="A65" s="16" t="s">
        <v>339</v>
      </c>
      <c r="B65">
        <v>8.25</v>
      </c>
    </row>
    <row r="66" spans="1:2" x14ac:dyDescent="0.3">
      <c r="A66" s="16" t="s">
        <v>344</v>
      </c>
      <c r="B66">
        <v>8</v>
      </c>
    </row>
    <row r="67" spans="1:2" x14ac:dyDescent="0.3">
      <c r="A67" s="16" t="s">
        <v>343</v>
      </c>
      <c r="B67">
        <v>8</v>
      </c>
    </row>
    <row r="68" spans="1:2" x14ac:dyDescent="0.3">
      <c r="A68" s="16" t="s">
        <v>335</v>
      </c>
      <c r="B68">
        <v>7.75</v>
      </c>
    </row>
    <row r="69" spans="1:2" x14ac:dyDescent="0.3">
      <c r="A69" s="16" t="s">
        <v>298</v>
      </c>
      <c r="B69">
        <v>7.75</v>
      </c>
    </row>
    <row r="70" spans="1:2" x14ac:dyDescent="0.3">
      <c r="A70" s="16" t="s">
        <v>332</v>
      </c>
      <c r="B70">
        <v>7.5</v>
      </c>
    </row>
    <row r="71" spans="1:2" x14ac:dyDescent="0.3">
      <c r="A71" s="16" t="s">
        <v>329</v>
      </c>
      <c r="B71">
        <v>7.5</v>
      </c>
    </row>
    <row r="72" spans="1:2" x14ac:dyDescent="0.3">
      <c r="A72" s="16" t="s">
        <v>330</v>
      </c>
      <c r="B72">
        <v>7.25</v>
      </c>
    </row>
    <row r="73" spans="1:2" x14ac:dyDescent="0.3">
      <c r="A73" s="16" t="s">
        <v>326</v>
      </c>
      <c r="B73">
        <v>7.25</v>
      </c>
    </row>
    <row r="74" spans="1:2" x14ac:dyDescent="0.3">
      <c r="A74" s="16" t="s">
        <v>351</v>
      </c>
      <c r="B74">
        <v>7.25</v>
      </c>
    </row>
    <row r="75" spans="1:2" x14ac:dyDescent="0.3">
      <c r="A75" s="16" t="s">
        <v>350</v>
      </c>
      <c r="B75">
        <v>6.5</v>
      </c>
    </row>
    <row r="76" spans="1:2" x14ac:dyDescent="0.3">
      <c r="A76" s="16" t="s">
        <v>348</v>
      </c>
      <c r="B76">
        <v>6.5</v>
      </c>
    </row>
    <row r="77" spans="1:2" x14ac:dyDescent="0.3">
      <c r="A77" s="16" t="s">
        <v>340</v>
      </c>
      <c r="B77">
        <v>6.5</v>
      </c>
    </row>
    <row r="78" spans="1:2" x14ac:dyDescent="0.3">
      <c r="A78" s="16" t="s">
        <v>324</v>
      </c>
      <c r="B78">
        <v>6</v>
      </c>
    </row>
    <row r="79" spans="1:2" x14ac:dyDescent="0.3">
      <c r="A79" s="16" t="s">
        <v>322</v>
      </c>
      <c r="B79">
        <v>6</v>
      </c>
    </row>
    <row r="80" spans="1:2" x14ac:dyDescent="0.3">
      <c r="A80" s="16" t="s">
        <v>316</v>
      </c>
      <c r="B80">
        <v>5.75</v>
      </c>
    </row>
    <row r="81" spans="1:2" x14ac:dyDescent="0.3">
      <c r="A81" s="16" t="s">
        <v>308</v>
      </c>
      <c r="B81">
        <v>5.75</v>
      </c>
    </row>
    <row r="82" spans="1:2" x14ac:dyDescent="0.3">
      <c r="A82" s="16" t="s">
        <v>338</v>
      </c>
      <c r="B82">
        <v>5.5</v>
      </c>
    </row>
    <row r="83" spans="1:2" x14ac:dyDescent="0.3">
      <c r="A83" s="16" t="s">
        <v>337</v>
      </c>
      <c r="B83">
        <v>5.25</v>
      </c>
    </row>
    <row r="84" spans="1:2" x14ac:dyDescent="0.3">
      <c r="A84" s="16" t="s">
        <v>347</v>
      </c>
      <c r="B84">
        <v>5</v>
      </c>
    </row>
    <row r="85" spans="1:2" x14ac:dyDescent="0.3">
      <c r="A85" s="16" t="s">
        <v>313</v>
      </c>
      <c r="B85">
        <v>4</v>
      </c>
    </row>
    <row r="86" spans="1:2" x14ac:dyDescent="0.3">
      <c r="A86" s="16" t="s">
        <v>345</v>
      </c>
      <c r="B86">
        <v>4</v>
      </c>
    </row>
    <row r="87" spans="1:2" x14ac:dyDescent="0.3">
      <c r="A87" s="16" t="s">
        <v>353</v>
      </c>
      <c r="B87">
        <v>6.78</v>
      </c>
    </row>
    <row r="92" spans="1:2" x14ac:dyDescent="0.3">
      <c r="A92" s="15" t="s">
        <v>352</v>
      </c>
      <c r="B92" t="s">
        <v>380</v>
      </c>
    </row>
    <row r="93" spans="1:2" x14ac:dyDescent="0.3">
      <c r="A93" s="16" t="s">
        <v>378</v>
      </c>
      <c r="B93">
        <v>5</v>
      </c>
    </row>
    <row r="94" spans="1:2" x14ac:dyDescent="0.3">
      <c r="A94" s="16" t="s">
        <v>379</v>
      </c>
      <c r="B94">
        <v>95</v>
      </c>
    </row>
    <row r="95" spans="1:2" x14ac:dyDescent="0.3">
      <c r="A95" s="16" t="s">
        <v>353</v>
      </c>
      <c r="B95">
        <v>100</v>
      </c>
    </row>
    <row r="100" spans="1:2" x14ac:dyDescent="0.3">
      <c r="A100" s="15" t="s">
        <v>352</v>
      </c>
      <c r="B100" t="s">
        <v>380</v>
      </c>
    </row>
    <row r="101" spans="1:2" x14ac:dyDescent="0.3">
      <c r="A101" s="16" t="s">
        <v>378</v>
      </c>
      <c r="B101">
        <v>15</v>
      </c>
    </row>
    <row r="102" spans="1:2" x14ac:dyDescent="0.3">
      <c r="A102" s="16" t="s">
        <v>379</v>
      </c>
      <c r="B102">
        <v>85</v>
      </c>
    </row>
    <row r="103" spans="1:2" x14ac:dyDescent="0.3">
      <c r="A103" s="16" t="s">
        <v>353</v>
      </c>
      <c r="B103">
        <v>100</v>
      </c>
    </row>
    <row r="107" spans="1:2" x14ac:dyDescent="0.3">
      <c r="A107" s="15" t="s">
        <v>352</v>
      </c>
      <c r="B107" t="s">
        <v>380</v>
      </c>
    </row>
    <row r="108" spans="1:2" x14ac:dyDescent="0.3">
      <c r="A108" s="16" t="s">
        <v>381</v>
      </c>
      <c r="B108">
        <v>2</v>
      </c>
    </row>
    <row r="109" spans="1:2" x14ac:dyDescent="0.3">
      <c r="A109" s="16" t="s">
        <v>382</v>
      </c>
      <c r="B109">
        <v>3</v>
      </c>
    </row>
    <row r="110" spans="1:2" x14ac:dyDescent="0.3">
      <c r="A110" s="16" t="s">
        <v>379</v>
      </c>
      <c r="B110">
        <v>83</v>
      </c>
    </row>
    <row r="111" spans="1:2" x14ac:dyDescent="0.3">
      <c r="A111" s="16" t="s">
        <v>383</v>
      </c>
      <c r="B111">
        <v>12</v>
      </c>
    </row>
    <row r="112" spans="1:2" x14ac:dyDescent="0.3">
      <c r="A112" s="16" t="s">
        <v>353</v>
      </c>
      <c r="B112">
        <v>100</v>
      </c>
    </row>
    <row r="116" spans="1:1" x14ac:dyDescent="0.3">
      <c r="A116" t="s">
        <v>385</v>
      </c>
    </row>
    <row r="117" spans="1:1" x14ac:dyDescent="0.3">
      <c r="A117" s="24">
        <v>0.95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8DFDA4-E1AE-4761-989C-6BF03253F0FC}">
  <sheetPr codeName="Sheet7"/>
  <dimension ref="B3:M11"/>
  <sheetViews>
    <sheetView topLeftCell="A47" zoomScale="115" zoomScaleNormal="115" workbookViewId="0">
      <selection activeCell="U18" sqref="U18"/>
    </sheetView>
  </sheetViews>
  <sheetFormatPr defaultRowHeight="14.4" x14ac:dyDescent="0.3"/>
  <cols>
    <col min="1" max="1" width="3.33203125" customWidth="1"/>
    <col min="14" max="14" width="5.6640625" customWidth="1"/>
  </cols>
  <sheetData>
    <row r="3" spans="2:13" ht="33.6" x14ac:dyDescent="0.65">
      <c r="F3" s="26" t="s">
        <v>386</v>
      </c>
      <c r="G3" s="26"/>
      <c r="H3" s="26"/>
      <c r="I3" s="26"/>
      <c r="J3" s="26"/>
      <c r="K3" s="26"/>
      <c r="L3" s="26"/>
    </row>
    <row r="6" spans="2:13" ht="31.2" customHeight="1" x14ac:dyDescent="0.3">
      <c r="B6" s="32" t="s">
        <v>359</v>
      </c>
      <c r="C6" s="32"/>
      <c r="D6" s="32"/>
      <c r="E6" s="28" t="s">
        <v>360</v>
      </c>
      <c r="F6" s="28"/>
      <c r="G6" s="28"/>
      <c r="H6" s="28" t="s">
        <v>361</v>
      </c>
      <c r="I6" s="28"/>
      <c r="J6" s="28"/>
      <c r="K6" s="29" t="s">
        <v>362</v>
      </c>
      <c r="L6" s="29"/>
      <c r="M6" s="29"/>
    </row>
    <row r="7" spans="2:13" x14ac:dyDescent="0.3">
      <c r="B7" s="30">
        <f>GETPIVOTDATA("Employee ID",'Pivot table'!$A$1)</f>
        <v>100</v>
      </c>
      <c r="C7" s="30"/>
      <c r="D7" s="30"/>
      <c r="E7" s="31">
        <f>GETPIVOTDATA("Attendance%",'Pivot table'!$A$116)</f>
        <v>0.95</v>
      </c>
      <c r="F7" s="31"/>
      <c r="G7" s="31"/>
      <c r="H7" s="33">
        <f>GETPIVOTDATA("Performance Score",'Pivot table'!$A$12)</f>
        <v>6.78</v>
      </c>
      <c r="I7" s="33"/>
      <c r="J7" s="33"/>
      <c r="K7" s="27">
        <f>GETPIVOTDATA("EmployeeID",'Pivot table'!$A$107,"RiskTag","High Risk")</f>
        <v>3</v>
      </c>
      <c r="L7" s="27"/>
      <c r="M7" s="27"/>
    </row>
    <row r="8" spans="2:13" x14ac:dyDescent="0.3">
      <c r="B8" s="30"/>
      <c r="C8" s="30"/>
      <c r="D8" s="30"/>
      <c r="E8" s="31"/>
      <c r="F8" s="31"/>
      <c r="G8" s="31"/>
      <c r="H8" s="33"/>
      <c r="I8" s="33"/>
      <c r="J8" s="33"/>
      <c r="K8" s="27"/>
      <c r="L8" s="27"/>
      <c r="M8" s="27"/>
    </row>
    <row r="9" spans="2:13" x14ac:dyDescent="0.3">
      <c r="B9" s="30"/>
      <c r="C9" s="30"/>
      <c r="D9" s="30"/>
      <c r="E9" s="31"/>
      <c r="F9" s="31"/>
      <c r="G9" s="31"/>
      <c r="H9" s="33"/>
      <c r="I9" s="33"/>
      <c r="J9" s="33"/>
      <c r="K9" s="27"/>
      <c r="L9" s="27"/>
      <c r="M9" s="27"/>
    </row>
    <row r="10" spans="2:13" ht="25.8" customHeight="1" x14ac:dyDescent="0.3">
      <c r="B10" s="34" t="s">
        <v>363</v>
      </c>
      <c r="C10" s="34"/>
      <c r="D10" s="34"/>
      <c r="E10" s="35" t="s">
        <v>364</v>
      </c>
      <c r="F10" s="35"/>
      <c r="G10" s="35"/>
      <c r="H10" s="36" t="s">
        <v>365</v>
      </c>
      <c r="I10" s="36"/>
      <c r="J10" s="36"/>
      <c r="K10" s="37" t="s">
        <v>366</v>
      </c>
      <c r="L10" s="37"/>
      <c r="M10" s="37"/>
    </row>
    <row r="11" spans="2:13" ht="30" x14ac:dyDescent="0.3">
      <c r="B11" s="38">
        <f>GETPIVOTDATA("EmployeeID",'Pivot table'!$A$100,"PerfFlag","OK")</f>
        <v>85</v>
      </c>
      <c r="C11" s="38"/>
      <c r="D11" s="38"/>
      <c r="E11" s="27">
        <f>GETPIVOTDATA("EmployeeID",'Pivot table'!$A$100,"PerfFlag","LOW")</f>
        <v>15</v>
      </c>
      <c r="F11" s="27"/>
      <c r="G11" s="27"/>
      <c r="H11" s="39">
        <f>GETPIVOTDATA("Overtime Hours",'Pivot table'!$A$51)</f>
        <v>0.75400000000000023</v>
      </c>
      <c r="I11" s="39"/>
      <c r="J11" s="39"/>
      <c r="K11" s="30">
        <f>GETPIVOTDATA("Attendance Status",'Pivot table'!$A$23,"Attendance Status","Absent")</f>
        <v>8</v>
      </c>
      <c r="L11" s="30"/>
      <c r="M11" s="30"/>
    </row>
  </sheetData>
  <mergeCells count="17">
    <mergeCell ref="B10:D10"/>
    <mergeCell ref="E10:G10"/>
    <mergeCell ref="H10:J10"/>
    <mergeCell ref="K10:M10"/>
    <mergeCell ref="B11:D11"/>
    <mergeCell ref="E11:G11"/>
    <mergeCell ref="H11:J11"/>
    <mergeCell ref="K11:M11"/>
    <mergeCell ref="F3:L3"/>
    <mergeCell ref="K7:M9"/>
    <mergeCell ref="H6:J6"/>
    <mergeCell ref="K6:M6"/>
    <mergeCell ref="B7:D9"/>
    <mergeCell ref="E7:G9"/>
    <mergeCell ref="B6:D6"/>
    <mergeCell ref="E6:G6"/>
    <mergeCell ref="H7:J9"/>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8708B2-6772-4CC8-9540-AB155E0A7F9D}">
  <sheetPr codeName="Sheet8"/>
  <dimension ref="A1:D7"/>
  <sheetViews>
    <sheetView workbookViewId="0"/>
  </sheetViews>
  <sheetFormatPr defaultRowHeight="14.4" x14ac:dyDescent="0.3"/>
  <sheetData>
    <row r="1" spans="1:4" x14ac:dyDescent="0.3">
      <c r="A1" t="s">
        <v>0</v>
      </c>
      <c r="B1" t="s">
        <v>1</v>
      </c>
      <c r="C1" t="s">
        <v>2</v>
      </c>
      <c r="D1" t="s">
        <v>3</v>
      </c>
    </row>
    <row r="2" spans="1:4" x14ac:dyDescent="0.3">
      <c r="A2" t="s">
        <v>4</v>
      </c>
      <c r="B2" t="s">
        <v>10</v>
      </c>
      <c r="C2" t="s">
        <v>14</v>
      </c>
      <c r="D2" t="s">
        <v>16</v>
      </c>
    </row>
    <row r="3" spans="1:4" x14ac:dyDescent="0.3">
      <c r="A3" t="s">
        <v>5</v>
      </c>
      <c r="B3" t="s">
        <v>11</v>
      </c>
      <c r="C3" t="s">
        <v>15</v>
      </c>
      <c r="D3" t="s">
        <v>17</v>
      </c>
    </row>
    <row r="4" spans="1:4" x14ac:dyDescent="0.3">
      <c r="A4" t="s">
        <v>6</v>
      </c>
      <c r="B4" t="s">
        <v>12</v>
      </c>
      <c r="D4" t="s">
        <v>18</v>
      </c>
    </row>
    <row r="5" spans="1:4" x14ac:dyDescent="0.3">
      <c r="A5" t="s">
        <v>7</v>
      </c>
      <c r="B5" t="s">
        <v>13</v>
      </c>
      <c r="D5" t="s">
        <v>19</v>
      </c>
    </row>
    <row r="6" spans="1:4" x14ac:dyDescent="0.3">
      <c r="A6" t="s">
        <v>8</v>
      </c>
    </row>
    <row r="7" spans="1:4" x14ac:dyDescent="0.3">
      <c r="A7" t="s">
        <v>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854ABC7-F08E-47A4-8CEC-0DF32DEFF8A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Employees</vt:lpstr>
      <vt:lpstr>Attendance</vt:lpstr>
      <vt:lpstr>Performance</vt:lpstr>
      <vt:lpstr>Holidays</vt:lpstr>
      <vt:lpstr>Shifts</vt:lpstr>
      <vt:lpstr>Cleaned_Data</vt:lpstr>
      <vt:lpstr>EmployeeMetrics</vt:lpstr>
      <vt:lpstr>Pivot table</vt:lpstr>
      <vt:lpstr>Dashboard</vt:lpstr>
      <vt:lpstr>Lists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Sachin Sakhare</dc:creator>
  <cp:lastModifiedBy>Sachin Sakhare</cp:lastModifiedBy>
  <dcterms:created xsi:type="dcterms:W3CDTF">2015-06-05T18:17:20Z</dcterms:created>
  <dcterms:modified xsi:type="dcterms:W3CDTF">2026-07-15T10:37:44Z</dcterms:modified>
</cp:coreProperties>
</file>